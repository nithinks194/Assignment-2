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FFD8059-E6FF-45DA-BA79-FED42B272FAB}" xr6:coauthVersionLast="47" xr6:coauthVersionMax="47" xr10:uidLastSave="{00000000-0000-0000-0000-000000000000}"/>
  <bookViews>
    <workbookView xWindow="-108" yWindow="-108" windowWidth="23256" windowHeight="12576" xr2:uid="{2FB8055F-2473-4581-B940-AC4DC91E11B3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11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 a="1"/>
  <c r="C2" i="12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2" i="7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C2" i="4" a="1"/>
  <c r="C2" i="4" s="1"/>
  <c r="K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<sst xmlns="http://schemas.openxmlformats.org/spreadsheetml/2006/main" count="986" uniqueCount="110">
  <si>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</si>
  <si>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</si>
  <si>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</si>
  <si>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</si>
  <si>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</si>
  <si>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</si>
  <si>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</si>
  <si>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</si>
  <si>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</si>
  <si>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</si>
  <si>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</si>
  <si>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</si>
  <si>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</si>
  <si>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Headphones</t>
  </si>
  <si>
    <t>Sony</t>
  </si>
  <si>
    <t>Electroni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</si>
  <si>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</si>
  <si>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</si>
  <si>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</si>
  <si>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</si>
  <si>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</si>
  <si>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</si>
  <si>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</si>
  <si>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</si>
  <si>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</si>
  <si>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</si>
  <si>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</si>
  <si>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</si>
  <si>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</si>
  <si>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</si>
  <si>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</si>
  <si>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</si>
  <si>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</si>
  <si>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</si>
  <si>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</si>
  <si>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</si>
  <si>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</si>
  <si>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</si>
  <si>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</si>
  <si>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</si>
  <si>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</si>
  <si>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</si>
  <si>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</si>
  <si>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</si>
  <si>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</si>
  <si>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</si>
  <si>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</si>
  <si>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</si>
  <si>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</si>
  <si>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</si>
  <si>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</si>
  <si>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</si>
  <si>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</si>
  <si>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</si>
  <si>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</si>
  <si>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</si>
  <si>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</si>
  <si>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</si>
  <si>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</si>
  <si>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</si>
  <si>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Product ID</t>
  </si>
  <si>
    <t>Product Name</t>
  </si>
  <si>
    <t>Brand Name</t>
  </si>
  <si>
    <t>Price ($)</t>
  </si>
  <si>
    <t>Quantity</t>
  </si>
  <si>
    <t>Category</t>
  </si>
  <si>
    <t>AVERAGE</t>
  </si>
  <si>
    <t>Remove Duplicates</t>
  </si>
  <si>
    <t>Country Code</t>
  </si>
  <si>
    <t>Manufacturing Date</t>
  </si>
  <si>
    <t>Product Brand</t>
  </si>
  <si>
    <t>Conditional Formating</t>
  </si>
  <si>
    <t>Missing Values</t>
  </si>
  <si>
    <t>*</t>
  </si>
  <si>
    <t xml:space="preserve"> Correcting Inconsistent Data</t>
  </si>
  <si>
    <t>28-JAN-2026-US</t>
  </si>
  <si>
    <t>15-FEB-2026-US</t>
  </si>
  <si>
    <t>03-MAR-2026-US</t>
  </si>
  <si>
    <t>11-APR-2026-US</t>
  </si>
  <si>
    <t>22-MAY-2026-US</t>
  </si>
  <si>
    <t>07-JUN-2026-UK</t>
  </si>
  <si>
    <t>19-JUL-2026-UK</t>
  </si>
  <si>
    <t>23-AUG-2026-UK</t>
  </si>
  <si>
    <t>05-SEP-2026-UK</t>
  </si>
  <si>
    <t>14-OCT-2026-UK</t>
  </si>
  <si>
    <t>17-JUN-2026-IN</t>
  </si>
  <si>
    <t>25-NOV-2026-AU</t>
  </si>
  <si>
    <t>08-DEC-2026-DE</t>
  </si>
  <si>
    <t>18-FEB-2026-CA</t>
  </si>
  <si>
    <t>16-APR-2026-ES</t>
  </si>
  <si>
    <t>21-AUG-2026-CA</t>
  </si>
  <si>
    <t>20-AUG-2026-CN</t>
  </si>
  <si>
    <t>27-JAN-2026-IT</t>
  </si>
  <si>
    <t>01-MAR-2026-UK</t>
  </si>
  <si>
    <t>14-AUG-2026-US</t>
  </si>
  <si>
    <t>14-MAY-2026-RU</t>
  </si>
  <si>
    <t>09-JAN-2026-CA</t>
  </si>
  <si>
    <t>19-JUL-2026-BR</t>
  </si>
  <si>
    <t>29-SEP-2026-CA</t>
  </si>
  <si>
    <t>03-JUN-2026-CA</t>
  </si>
  <si>
    <t>11-JUL-2026-CA</t>
  </si>
  <si>
    <t>07-MAR-2026-CA</t>
  </si>
  <si>
    <t>13-APR-2026-CA</t>
  </si>
  <si>
    <t>24-MAY-2026-CA</t>
  </si>
  <si>
    <t>02-DEC-2026-CA</t>
  </si>
  <si>
    <t>17-JUN-2026--IN</t>
  </si>
  <si>
    <t>09-JUL-2026-FR</t>
  </si>
  <si>
    <t>Proper Product Name</t>
  </si>
  <si>
    <t>Splitting And Merging Data</t>
  </si>
  <si>
    <t>Noumber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</si>
</sst>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dd\-mm\-yyyy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0" fillId="4" borderId="0" xfId="0" applyFill="1"/>
    <xf numFmtId="0" fontId="1" fillId="5" borderId="2" xfId="0" applyFont="1" applyFill="1" applyBorder="1" applyAlignment="1">
      <alignment wrapText="1"/>
    </xf>
    <xf numFmtId="0" fontId="1" fillId="5" borderId="2" xfId="0" applyFont="1" applyFill="1" applyBorder="1" applyAlignment="1">
      <alignment horizontal="right" wrapText="1"/>
    </xf>
    <xf numFmtId="0" fontId="3" fillId="0" borderId="0" xfId="0" applyFont="1"/>
    <xf numFmtId="0" fontId="5" fillId="6" borderId="0" xfId="0" applyFont="1" applyFill="1"/>
    <xf numFmtId="0" fontId="6" fillId="6" borderId="0" xfId="0" applyFont="1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0" xfId="0" applyFont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right" wrapText="1"/>
    </xf>
    <xf numFmtId="0" fontId="9" fillId="6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right" wrapText="1"/>
    </xf>
    <xf numFmtId="0" fontId="6" fillId="0" borderId="2" xfId="0" applyFont="1" applyBorder="1"/>
    <xf numFmtId="0" fontId="8" fillId="5" borderId="2" xfId="0" applyFont="1" applyFill="1" applyBorder="1" applyAlignment="1">
      <alignment wrapText="1"/>
    </xf>
    <xf numFmtId="0" fontId="8" fillId="5" borderId="2" xfId="0" applyFont="1" applyFill="1" applyBorder="1" applyAlignment="1">
      <alignment horizontal="right" wrapText="1"/>
    </xf>
    <xf numFmtId="0" fontId="6" fillId="5" borderId="2" xfId="0" applyFont="1" applyFill="1" applyBorder="1"/>
    <xf numFmtId="0" fontId="11" fillId="0" borderId="0" xfId="0" applyFont="1"/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>
      <alignment horizontal="right" wrapText="1"/>
    </xf>
    <xf numFmtId="0" fontId="0" fillId="0" borderId="2" xfId="0" applyFont="1" applyBorder="1"/>
    <xf numFmtId="0" fontId="10" fillId="5" borderId="2" xfId="0" applyFont="1" applyFill="1" applyBorder="1" applyAlignment="1">
      <alignment wrapText="1"/>
    </xf>
    <xf numFmtId="0" fontId="10" fillId="5" borderId="2" xfId="0" applyFont="1" applyFill="1" applyBorder="1" applyAlignment="1">
      <alignment horizontal="right" wrapText="1"/>
    </xf>
    <xf numFmtId="0" fontId="0" fillId="5" borderId="2" xfId="0" applyFont="1" applyFill="1" applyBorder="1"/>
    <xf numFmtId="164" fontId="0" fillId="0" borderId="0" xfId="0" applyNumberFormat="1" applyFont="1"/>
    <xf numFmtId="168" fontId="6" fillId="0" borderId="2" xfId="0" applyNumberFormat="1" applyFont="1" applyBorder="1"/>
    <xf numFmtId="168" fontId="6" fillId="5" borderId="2" xfId="0" applyNumberFormat="1" applyFont="1" applyFill="1" applyBorder="1"/>
    <xf numFmtId="168" fontId="9" fillId="6" borderId="2" xfId="0" applyNumberFormat="1" applyFont="1" applyFill="1" applyBorder="1" applyAlignment="1">
      <alignment horizontal="center" wrapText="1"/>
    </xf>
    <xf numFmtId="168" fontId="3" fillId="0" borderId="0" xfId="0" applyNumberFormat="1" applyFont="1"/>
    <xf numFmtId="168" fontId="3" fillId="6" borderId="2" xfId="0" applyNumberFormat="1" applyFont="1" applyFill="1" applyBorder="1" applyAlignment="1">
      <alignment horizontal="center" wrapText="1"/>
    </xf>
    <xf numFmtId="168" fontId="0" fillId="0" borderId="2" xfId="0" applyNumberFormat="1" applyFont="1" applyBorder="1"/>
    <xf numFmtId="168" fontId="0" fillId="5" borderId="2" xfId="0" applyNumberFormat="1" applyFont="1" applyFill="1" applyBorder="1"/>
    <xf numFmtId="168" fontId="0" fillId="0" borderId="0" xfId="0" applyNumberFormat="1" applyFont="1"/>
    <xf numFmtId="0" fontId="1" fillId="5" borderId="1" xfId="0" applyFont="1" applyFill="1" applyBorder="1" applyAlignment="1">
      <alignment wrapText="1"/>
    </xf>
    <xf numFmtId="0" fontId="0" fillId="7" borderId="0" xfId="0" applyFill="1"/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left" indent="14"/>
    </xf>
    <xf numFmtId="0" fontId="0" fillId="7" borderId="2" xfId="0" applyFill="1" applyBorder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EDF2-7C1F-4DF8-A1E8-049AB35B3BD9}">
  <dimension ref="A1:J35"/>
  <sheetViews>
    <sheetView tabSelected="1" workbookViewId="0">
      <selection activeCell="H7" sqref="H7"/>
    </sheetView>
  </sheetViews>
  <sheetFormatPr defaultColWidth="18.109375" defaultRowHeight="28.2" customHeight="1" x14ac:dyDescent="0.3"/>
  <cols>
    <col min="3" max="3" width="16.6640625" customWidth="1"/>
    <col min="4" max="4" width="14.77734375" customWidth="1"/>
    <col min="5" max="5" width="14.6640625" customWidth="1"/>
  </cols>
  <sheetData>
    <row r="1" spans="1:10" ht="28.2" customHeight="1" thickBot="1" x14ac:dyDescent="0.35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</row>
    <row r="2" spans="1:10" ht="28.2" customHeight="1" thickBot="1" x14ac:dyDescent="0.35">
      <c r="A2" s="19" t="s">
        <v>75</v>
      </c>
      <c r="B2" s="19" t="s">
        <v>0</v>
      </c>
      <c r="C2" s="19" t="s">
        <v>1</v>
      </c>
      <c r="D2" s="20">
        <v>1000</v>
      </c>
      <c r="E2" s="20">
        <v>30</v>
      </c>
      <c r="F2" s="19" t="s">
        <v>2</v>
      </c>
    </row>
    <row r="3" spans="1:10" ht="28.2" customHeight="1" thickBot="1" x14ac:dyDescent="0.35">
      <c r="A3" s="21" t="s">
        <v>76</v>
      </c>
      <c r="B3" s="21" t="s">
        <v>3</v>
      </c>
      <c r="C3" s="21" t="s">
        <v>4</v>
      </c>
      <c r="D3" s="22">
        <v>80</v>
      </c>
      <c r="E3" s="22">
        <v>15</v>
      </c>
      <c r="F3" s="21" t="s">
        <v>5</v>
      </c>
    </row>
    <row r="4" spans="1:10" ht="28.2" customHeight="1" thickBot="1" x14ac:dyDescent="0.35">
      <c r="A4" s="19" t="s">
        <v>77</v>
      </c>
      <c r="B4" s="19" t="s">
        <v>6</v>
      </c>
      <c r="C4" s="19" t="s">
        <v>7</v>
      </c>
      <c r="D4" s="20">
        <v>130</v>
      </c>
      <c r="E4" s="20">
        <v>40</v>
      </c>
      <c r="F4" s="19" t="s">
        <v>8</v>
      </c>
    </row>
    <row r="5" spans="1:10" ht="28.2" customHeight="1" thickBot="1" x14ac:dyDescent="0.35">
      <c r="A5" s="21" t="s">
        <v>78</v>
      </c>
      <c r="B5" s="21" t="s">
        <v>9</v>
      </c>
      <c r="C5" s="21" t="s">
        <v>10</v>
      </c>
      <c r="D5" s="22">
        <v>900</v>
      </c>
      <c r="E5" s="22">
        <v>25</v>
      </c>
      <c r="F5" s="21" t="s">
        <v>2</v>
      </c>
      <c r="J5" s="30"/>
    </row>
    <row r="6" spans="1:10" ht="28.2" customHeight="1" thickBot="1" x14ac:dyDescent="0.35">
      <c r="A6" s="19" t="s">
        <v>79</v>
      </c>
      <c r="B6" s="19" t="s">
        <v>11</v>
      </c>
      <c r="C6" s="19" t="s">
        <v>12</v>
      </c>
      <c r="D6" s="20">
        <v>70</v>
      </c>
      <c r="E6" s="20">
        <v>20</v>
      </c>
      <c r="F6" s="19"/>
    </row>
    <row r="7" spans="1:10" ht="28.2" customHeight="1" thickBot="1" x14ac:dyDescent="0.35">
      <c r="A7" s="21" t="s">
        <v>80</v>
      </c>
      <c r="B7" s="21" t="s">
        <v>13</v>
      </c>
      <c r="C7" s="21" t="s">
        <v>14</v>
      </c>
      <c r="D7" s="21"/>
      <c r="E7" s="22">
        <v>45</v>
      </c>
      <c r="F7" s="21" t="s">
        <v>15</v>
      </c>
    </row>
    <row r="8" spans="1:10" ht="28.2" customHeight="1" thickBot="1" x14ac:dyDescent="0.35">
      <c r="A8" s="19" t="s">
        <v>81</v>
      </c>
      <c r="B8" s="19" t="s">
        <v>16</v>
      </c>
      <c r="C8" s="19" t="s">
        <v>17</v>
      </c>
      <c r="D8" s="20">
        <v>30</v>
      </c>
      <c r="E8" s="20">
        <v>5</v>
      </c>
      <c r="F8" s="19" t="s">
        <v>5</v>
      </c>
    </row>
    <row r="9" spans="1:10" ht="28.2" customHeight="1" thickBot="1" x14ac:dyDescent="0.35">
      <c r="A9" s="21" t="s">
        <v>82</v>
      </c>
      <c r="B9" s="21" t="s">
        <v>18</v>
      </c>
      <c r="C9" s="21" t="s">
        <v>19</v>
      </c>
      <c r="D9" s="22">
        <v>90</v>
      </c>
      <c r="E9" s="22">
        <v>35</v>
      </c>
      <c r="F9" s="21" t="s">
        <v>8</v>
      </c>
    </row>
    <row r="10" spans="1:10" ht="28.2" customHeight="1" thickBot="1" x14ac:dyDescent="0.35">
      <c r="A10" s="19" t="s">
        <v>83</v>
      </c>
      <c r="B10" s="19" t="s">
        <v>20</v>
      </c>
      <c r="C10" s="19" t="s">
        <v>21</v>
      </c>
      <c r="D10" s="20">
        <v>500</v>
      </c>
      <c r="E10" s="20">
        <v>50</v>
      </c>
      <c r="F10" s="19" t="s">
        <v>2</v>
      </c>
    </row>
    <row r="11" spans="1:10" ht="28.2" customHeight="1" thickBot="1" x14ac:dyDescent="0.35">
      <c r="A11" s="21" t="s">
        <v>84</v>
      </c>
      <c r="B11" s="21" t="s">
        <v>22</v>
      </c>
      <c r="C11" s="21" t="s">
        <v>23</v>
      </c>
      <c r="D11" s="22">
        <v>130</v>
      </c>
      <c r="E11" s="22">
        <v>10</v>
      </c>
      <c r="F11" s="21" t="s">
        <v>24</v>
      </c>
    </row>
    <row r="12" spans="1:10" ht="28.2" customHeight="1" thickBot="1" x14ac:dyDescent="0.35">
      <c r="A12" s="19" t="s">
        <v>85</v>
      </c>
      <c r="B12" s="19" t="s">
        <v>25</v>
      </c>
      <c r="C12" s="19" t="s">
        <v>26</v>
      </c>
      <c r="D12" s="20">
        <v>950</v>
      </c>
      <c r="E12" s="20">
        <v>25</v>
      </c>
      <c r="F12" s="19" t="s">
        <v>2</v>
      </c>
    </row>
    <row r="13" spans="1:10" ht="28.2" customHeight="1" thickBot="1" x14ac:dyDescent="0.35">
      <c r="A13" s="21" t="s">
        <v>86</v>
      </c>
      <c r="B13" s="21" t="s">
        <v>3</v>
      </c>
      <c r="C13" s="21" t="s">
        <v>17</v>
      </c>
      <c r="D13" s="22">
        <v>90</v>
      </c>
      <c r="E13" s="22">
        <v>40</v>
      </c>
      <c r="F13" s="21"/>
    </row>
    <row r="14" spans="1:10" ht="28.2" customHeight="1" thickBot="1" x14ac:dyDescent="0.35">
      <c r="A14" s="19" t="s">
        <v>87</v>
      </c>
      <c r="B14" s="19" t="s">
        <v>6</v>
      </c>
      <c r="C14" s="19" t="s">
        <v>27</v>
      </c>
      <c r="D14" s="20">
        <v>120</v>
      </c>
      <c r="E14" s="20">
        <v>35</v>
      </c>
      <c r="F14" s="19"/>
    </row>
    <row r="15" spans="1:10" ht="28.2" customHeight="1" thickBot="1" x14ac:dyDescent="0.35">
      <c r="A15" s="21" t="s">
        <v>88</v>
      </c>
      <c r="B15" s="21" t="s">
        <v>28</v>
      </c>
      <c r="C15" s="21" t="s">
        <v>29</v>
      </c>
      <c r="D15" s="22">
        <v>150</v>
      </c>
      <c r="E15" s="22">
        <v>15</v>
      </c>
      <c r="F15" s="21" t="s">
        <v>15</v>
      </c>
    </row>
    <row r="16" spans="1:10" ht="28.2" customHeight="1" thickBot="1" x14ac:dyDescent="0.35">
      <c r="A16" s="19" t="s">
        <v>89</v>
      </c>
      <c r="B16" s="19" t="s">
        <v>30</v>
      </c>
      <c r="C16" s="19" t="s">
        <v>31</v>
      </c>
      <c r="D16" s="20">
        <v>250</v>
      </c>
      <c r="E16" s="20">
        <v>20</v>
      </c>
      <c r="F16" s="19" t="s">
        <v>15</v>
      </c>
    </row>
    <row r="17" spans="1:6" ht="28.2" customHeight="1" thickBot="1" x14ac:dyDescent="0.35">
      <c r="A17" s="21" t="s">
        <v>90</v>
      </c>
      <c r="B17" s="21" t="s">
        <v>32</v>
      </c>
      <c r="C17" s="21" t="s">
        <v>33</v>
      </c>
      <c r="D17" s="22">
        <v>50</v>
      </c>
      <c r="E17" s="22">
        <v>35</v>
      </c>
      <c r="F17" s="21" t="s">
        <v>34</v>
      </c>
    </row>
    <row r="18" spans="1:6" ht="28.2" customHeight="1" thickBot="1" x14ac:dyDescent="0.35">
      <c r="A18" s="19" t="s">
        <v>91</v>
      </c>
      <c r="B18" s="19" t="s">
        <v>28</v>
      </c>
      <c r="C18" s="19" t="s">
        <v>35</v>
      </c>
      <c r="D18" s="20">
        <v>160</v>
      </c>
      <c r="E18" s="20">
        <v>15</v>
      </c>
      <c r="F18" s="19" t="s">
        <v>15</v>
      </c>
    </row>
    <row r="19" spans="1:6" ht="28.2" customHeight="1" thickBot="1" x14ac:dyDescent="0.35">
      <c r="A19" s="21" t="s">
        <v>92</v>
      </c>
      <c r="B19" s="21" t="s">
        <v>0</v>
      </c>
      <c r="C19" s="21" t="s">
        <v>36</v>
      </c>
      <c r="D19" s="22">
        <v>980</v>
      </c>
      <c r="E19" s="22">
        <v>10</v>
      </c>
      <c r="F19" s="21" t="s">
        <v>2</v>
      </c>
    </row>
    <row r="20" spans="1:6" ht="28.2" customHeight="1" thickBot="1" x14ac:dyDescent="0.35">
      <c r="A20" s="19" t="s">
        <v>93</v>
      </c>
      <c r="B20" s="19" t="s">
        <v>37</v>
      </c>
      <c r="C20" s="19" t="s">
        <v>38</v>
      </c>
      <c r="D20" s="20">
        <v>150</v>
      </c>
      <c r="E20" s="20">
        <v>15</v>
      </c>
      <c r="F20" s="19" t="s">
        <v>5</v>
      </c>
    </row>
    <row r="21" spans="1:6" ht="28.2" customHeight="1" thickBot="1" x14ac:dyDescent="0.35">
      <c r="A21" s="21" t="s">
        <v>94</v>
      </c>
      <c r="B21" s="21" t="s">
        <v>39</v>
      </c>
      <c r="C21" s="21" t="s">
        <v>40</v>
      </c>
      <c r="D21" s="21"/>
      <c r="E21" s="22">
        <v>10</v>
      </c>
      <c r="F21" s="21" t="s">
        <v>24</v>
      </c>
    </row>
    <row r="22" spans="1:6" ht="28.2" customHeight="1" thickBot="1" x14ac:dyDescent="0.35">
      <c r="A22" s="19" t="s">
        <v>95</v>
      </c>
      <c r="B22" s="19" t="s">
        <v>41</v>
      </c>
      <c r="C22" s="19" t="s">
        <v>42</v>
      </c>
      <c r="D22" s="20">
        <v>700</v>
      </c>
      <c r="E22" s="20">
        <v>50</v>
      </c>
      <c r="F22" s="19" t="s">
        <v>2</v>
      </c>
    </row>
    <row r="23" spans="1:6" ht="28.2" customHeight="1" thickBot="1" x14ac:dyDescent="0.35">
      <c r="A23" s="21" t="s">
        <v>96</v>
      </c>
      <c r="B23" s="21" t="s">
        <v>43</v>
      </c>
      <c r="C23" s="21" t="s">
        <v>44</v>
      </c>
      <c r="D23" s="22">
        <v>80</v>
      </c>
      <c r="E23" s="22">
        <v>20</v>
      </c>
      <c r="F23" s="21" t="s">
        <v>8</v>
      </c>
    </row>
    <row r="24" spans="1:6" ht="28.2" customHeight="1" thickBot="1" x14ac:dyDescent="0.35">
      <c r="A24" s="19" t="s">
        <v>97</v>
      </c>
      <c r="B24" s="19" t="s">
        <v>45</v>
      </c>
      <c r="C24" s="19" t="s">
        <v>46</v>
      </c>
      <c r="D24" s="20">
        <v>150</v>
      </c>
      <c r="E24" s="20">
        <v>30</v>
      </c>
      <c r="F24" s="19"/>
    </row>
    <row r="25" spans="1:6" ht="28.2" customHeight="1" thickBot="1" x14ac:dyDescent="0.35">
      <c r="A25" s="21" t="s">
        <v>90</v>
      </c>
      <c r="B25" s="21" t="s">
        <v>32</v>
      </c>
      <c r="C25" s="21" t="s">
        <v>33</v>
      </c>
      <c r="D25" s="22">
        <v>50</v>
      </c>
      <c r="E25" s="22">
        <v>35</v>
      </c>
      <c r="F25" s="21" t="s">
        <v>34</v>
      </c>
    </row>
    <row r="26" spans="1:6" ht="28.2" customHeight="1" thickBot="1" x14ac:dyDescent="0.35">
      <c r="A26" s="19" t="s">
        <v>98</v>
      </c>
      <c r="B26" s="19" t="s">
        <v>47</v>
      </c>
      <c r="C26" s="19" t="s">
        <v>48</v>
      </c>
      <c r="D26" s="20">
        <v>800</v>
      </c>
      <c r="E26" s="20">
        <v>45</v>
      </c>
      <c r="F26" s="19" t="s">
        <v>2</v>
      </c>
    </row>
    <row r="27" spans="1:6" ht="28.2" customHeight="1" thickBot="1" x14ac:dyDescent="0.35">
      <c r="A27" s="21" t="s">
        <v>99</v>
      </c>
      <c r="B27" s="21" t="s">
        <v>37</v>
      </c>
      <c r="C27" s="21" t="s">
        <v>49</v>
      </c>
      <c r="D27" s="21"/>
      <c r="E27" s="22">
        <v>25</v>
      </c>
      <c r="F27" s="21" t="s">
        <v>5</v>
      </c>
    </row>
    <row r="28" spans="1:6" ht="28.2" customHeight="1" thickBot="1" x14ac:dyDescent="0.35">
      <c r="A28" s="19" t="s">
        <v>100</v>
      </c>
      <c r="B28" s="19" t="s">
        <v>18</v>
      </c>
      <c r="C28" s="19" t="s">
        <v>50</v>
      </c>
      <c r="D28" s="20">
        <v>400</v>
      </c>
      <c r="E28" s="20">
        <v>40</v>
      </c>
      <c r="F28" s="19" t="s">
        <v>8</v>
      </c>
    </row>
    <row r="29" spans="1:6" ht="28.2" customHeight="1" thickBot="1" x14ac:dyDescent="0.35">
      <c r="A29" s="21" t="s">
        <v>89</v>
      </c>
      <c r="B29" s="21" t="s">
        <v>30</v>
      </c>
      <c r="C29" s="21" t="s">
        <v>31</v>
      </c>
      <c r="D29" s="22">
        <v>250</v>
      </c>
      <c r="E29" s="22">
        <v>20</v>
      </c>
      <c r="F29" s="21" t="s">
        <v>15</v>
      </c>
    </row>
    <row r="30" spans="1:6" ht="28.2" customHeight="1" thickBot="1" x14ac:dyDescent="0.35">
      <c r="A30" s="19" t="s">
        <v>101</v>
      </c>
      <c r="B30" s="19" t="s">
        <v>51</v>
      </c>
      <c r="C30" s="19" t="s">
        <v>52</v>
      </c>
      <c r="D30" s="20">
        <v>60</v>
      </c>
      <c r="E30" s="20">
        <v>30</v>
      </c>
      <c r="F30" s="19" t="s">
        <v>5</v>
      </c>
    </row>
    <row r="31" spans="1:6" ht="28.2" customHeight="1" thickBot="1" x14ac:dyDescent="0.35">
      <c r="A31" s="21" t="s">
        <v>102</v>
      </c>
      <c r="B31" s="21" t="s">
        <v>53</v>
      </c>
      <c r="C31" s="21" t="s">
        <v>54</v>
      </c>
      <c r="D31" s="22">
        <v>40</v>
      </c>
      <c r="E31" s="22">
        <v>10</v>
      </c>
      <c r="F31" s="21" t="s">
        <v>8</v>
      </c>
    </row>
    <row r="32" spans="1:6" ht="28.2" customHeight="1" thickBot="1" x14ac:dyDescent="0.35">
      <c r="A32" s="19" t="s">
        <v>103</v>
      </c>
      <c r="B32" s="19" t="s">
        <v>45</v>
      </c>
      <c r="C32" s="19" t="s">
        <v>55</v>
      </c>
      <c r="D32" s="20">
        <v>130</v>
      </c>
      <c r="E32" s="20">
        <v>5</v>
      </c>
      <c r="F32" s="19" t="s">
        <v>2</v>
      </c>
    </row>
    <row r="33" spans="1:6" ht="28.2" customHeight="1" thickBot="1" x14ac:dyDescent="0.35">
      <c r="A33" s="21" t="s">
        <v>104</v>
      </c>
      <c r="B33" s="21" t="s">
        <v>56</v>
      </c>
      <c r="C33" s="21" t="s">
        <v>57</v>
      </c>
      <c r="D33" s="22">
        <v>50</v>
      </c>
      <c r="E33" s="22">
        <v>50</v>
      </c>
      <c r="F33" s="21" t="s">
        <v>5</v>
      </c>
    </row>
    <row r="34" spans="1:6" ht="28.2" customHeight="1" thickBot="1" x14ac:dyDescent="0.35">
      <c r="A34" s="19" t="s">
        <v>105</v>
      </c>
      <c r="B34" s="19" t="s">
        <v>25</v>
      </c>
      <c r="C34" s="19" t="s">
        <v>26</v>
      </c>
      <c r="D34" s="20">
        <v>950</v>
      </c>
      <c r="E34" s="20">
        <v>25</v>
      </c>
      <c r="F34" s="19" t="s">
        <v>2</v>
      </c>
    </row>
    <row r="35" spans="1:6" ht="28.2" customHeight="1" thickBot="1" x14ac:dyDescent="0.35">
      <c r="A35" s="21" t="s">
        <v>106</v>
      </c>
      <c r="B35" s="21" t="s">
        <v>58</v>
      </c>
      <c r="C35" s="21" t="s">
        <v>59</v>
      </c>
      <c r="D35" s="22">
        <v>100</v>
      </c>
      <c r="E35" s="22">
        <v>20</v>
      </c>
      <c r="F35" s="2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6ADD-2AC5-4443-9F8A-9E27A326C6D1}">
  <dimension ref="A1:K35"/>
  <sheetViews>
    <sheetView workbookViewId="0">
      <selection activeCell="H8" sqref="H8"/>
    </sheetView>
  </sheetViews>
  <sheetFormatPr defaultColWidth="16.21875" defaultRowHeight="25.2" customHeight="1" x14ac:dyDescent="0.3"/>
  <sheetData>
    <row r="1" spans="1:11" ht="25.2" customHeight="1" thickBot="1" x14ac:dyDescent="0.3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</row>
    <row r="2" spans="1:11" ht="25.2" customHeight="1" thickBot="1" x14ac:dyDescent="0.35">
      <c r="A2" s="1" t="s">
        <v>75</v>
      </c>
      <c r="B2" s="1" t="s">
        <v>0</v>
      </c>
      <c r="C2" s="1" t="s">
        <v>1</v>
      </c>
      <c r="D2" s="2">
        <v>1000</v>
      </c>
      <c r="E2" s="2">
        <v>30</v>
      </c>
      <c r="F2" s="1" t="s">
        <v>2</v>
      </c>
    </row>
    <row r="3" spans="1:11" ht="25.2" customHeight="1" thickBot="1" x14ac:dyDescent="0.4">
      <c r="A3" s="3" t="s">
        <v>76</v>
      </c>
      <c r="B3" s="3" t="s">
        <v>3</v>
      </c>
      <c r="C3" s="3" t="s">
        <v>4</v>
      </c>
      <c r="D3" s="4">
        <v>80</v>
      </c>
      <c r="E3" s="4">
        <v>15</v>
      </c>
      <c r="F3" s="3" t="s">
        <v>5</v>
      </c>
      <c r="I3" s="50">
        <v>1</v>
      </c>
      <c r="J3" s="51" t="s">
        <v>72</v>
      </c>
      <c r="K3" s="52"/>
    </row>
    <row r="4" spans="1:11" ht="25.2" customHeight="1" thickBot="1" x14ac:dyDescent="0.35">
      <c r="A4" s="1" t="s">
        <v>77</v>
      </c>
      <c r="B4" s="1" t="s">
        <v>6</v>
      </c>
      <c r="C4" s="1" t="s">
        <v>7</v>
      </c>
      <c r="D4" s="2">
        <v>130</v>
      </c>
      <c r="E4" s="2">
        <v>40</v>
      </c>
      <c r="F4" s="1" t="s">
        <v>8</v>
      </c>
      <c r="I4" s="53" t="s">
        <v>73</v>
      </c>
      <c r="J4" s="54" t="s">
        <v>66</v>
      </c>
      <c r="K4" s="54">
        <f>AVERAGE(D2:D35)</f>
        <v>309.3547647058823</v>
      </c>
    </row>
    <row r="5" spans="1:11" ht="25.2" customHeight="1" thickBot="1" x14ac:dyDescent="0.35">
      <c r="A5" s="3" t="s">
        <v>78</v>
      </c>
      <c r="B5" s="3" t="s">
        <v>9</v>
      </c>
      <c r="C5" s="3" t="s">
        <v>10</v>
      </c>
      <c r="D5" s="4">
        <v>900</v>
      </c>
      <c r="E5" s="4">
        <v>25</v>
      </c>
      <c r="F5" s="3" t="s">
        <v>2</v>
      </c>
    </row>
    <row r="6" spans="1:11" ht="25.2" customHeight="1" thickBot="1" x14ac:dyDescent="0.35">
      <c r="A6" s="1" t="s">
        <v>79</v>
      </c>
      <c r="B6" s="1" t="s">
        <v>11</v>
      </c>
      <c r="C6" s="1" t="s">
        <v>12</v>
      </c>
      <c r="D6" s="2">
        <v>70</v>
      </c>
      <c r="E6" s="2">
        <v>20</v>
      </c>
      <c r="F6" s="1" t="s">
        <v>34</v>
      </c>
    </row>
    <row r="7" spans="1:11" ht="25.2" customHeight="1" thickBot="1" x14ac:dyDescent="0.35">
      <c r="A7" s="3" t="s">
        <v>80</v>
      </c>
      <c r="B7" s="3" t="s">
        <v>13</v>
      </c>
      <c r="C7" s="3" t="s">
        <v>14</v>
      </c>
      <c r="D7" s="3">
        <v>309.35399999999998</v>
      </c>
      <c r="E7" s="4">
        <v>45</v>
      </c>
      <c r="F7" s="3" t="s">
        <v>15</v>
      </c>
    </row>
    <row r="8" spans="1:11" ht="25.2" customHeight="1" thickBot="1" x14ac:dyDescent="0.35">
      <c r="A8" s="1" t="s">
        <v>81</v>
      </c>
      <c r="B8" s="1" t="s">
        <v>16</v>
      </c>
      <c r="C8" s="1" t="s">
        <v>17</v>
      </c>
      <c r="D8" s="2">
        <v>30</v>
      </c>
      <c r="E8" s="2">
        <v>5</v>
      </c>
      <c r="F8" s="1" t="s">
        <v>5</v>
      </c>
    </row>
    <row r="9" spans="1:11" ht="25.2" customHeight="1" thickBot="1" x14ac:dyDescent="0.35">
      <c r="A9" s="3" t="s">
        <v>82</v>
      </c>
      <c r="B9" s="3" t="s">
        <v>18</v>
      </c>
      <c r="C9" s="3" t="s">
        <v>19</v>
      </c>
      <c r="D9" s="4">
        <v>90</v>
      </c>
      <c r="E9" s="4">
        <v>35</v>
      </c>
      <c r="F9" s="3" t="s">
        <v>8</v>
      </c>
    </row>
    <row r="10" spans="1:11" ht="25.2" customHeight="1" thickBot="1" x14ac:dyDescent="0.35">
      <c r="A10" s="1" t="s">
        <v>83</v>
      </c>
      <c r="B10" s="1" t="s">
        <v>20</v>
      </c>
      <c r="C10" s="1" t="s">
        <v>21</v>
      </c>
      <c r="D10" s="2">
        <v>500</v>
      </c>
      <c r="E10" s="2">
        <v>50</v>
      </c>
      <c r="F10" s="1" t="s">
        <v>2</v>
      </c>
    </row>
    <row r="11" spans="1:11" ht="25.2" customHeight="1" thickBot="1" x14ac:dyDescent="0.35">
      <c r="A11" s="3" t="s">
        <v>84</v>
      </c>
      <c r="B11" s="3" t="s">
        <v>22</v>
      </c>
      <c r="C11" s="3" t="s">
        <v>23</v>
      </c>
      <c r="D11" s="4">
        <v>130</v>
      </c>
      <c r="E11" s="4">
        <v>10</v>
      </c>
      <c r="F11" s="3" t="s">
        <v>24</v>
      </c>
    </row>
    <row r="12" spans="1:11" ht="25.2" customHeight="1" thickBot="1" x14ac:dyDescent="0.35">
      <c r="A12" s="1" t="s">
        <v>85</v>
      </c>
      <c r="B12" s="1" t="s">
        <v>25</v>
      </c>
      <c r="C12" s="1" t="s">
        <v>26</v>
      </c>
      <c r="D12" s="2">
        <v>950</v>
      </c>
      <c r="E12" s="2">
        <v>25</v>
      </c>
      <c r="F12" s="1" t="s">
        <v>2</v>
      </c>
    </row>
    <row r="13" spans="1:11" ht="25.2" customHeight="1" thickBot="1" x14ac:dyDescent="0.35">
      <c r="A13" s="3" t="s">
        <v>86</v>
      </c>
      <c r="B13" s="3" t="s">
        <v>3</v>
      </c>
      <c r="C13" s="3" t="s">
        <v>17</v>
      </c>
      <c r="D13" s="4">
        <v>90</v>
      </c>
      <c r="E13" s="4">
        <v>40</v>
      </c>
      <c r="F13" s="3" t="s">
        <v>5</v>
      </c>
    </row>
    <row r="14" spans="1:11" ht="25.2" customHeight="1" thickBot="1" x14ac:dyDescent="0.35">
      <c r="A14" s="1" t="s">
        <v>87</v>
      </c>
      <c r="B14" s="1" t="s">
        <v>6</v>
      </c>
      <c r="C14" s="1" t="s">
        <v>27</v>
      </c>
      <c r="D14" s="2">
        <v>120</v>
      </c>
      <c r="E14" s="2">
        <v>35</v>
      </c>
      <c r="F14" s="1" t="s">
        <v>8</v>
      </c>
    </row>
    <row r="15" spans="1:11" ht="25.2" customHeight="1" thickBot="1" x14ac:dyDescent="0.35">
      <c r="A15" s="3" t="s">
        <v>88</v>
      </c>
      <c r="B15" s="3" t="s">
        <v>28</v>
      </c>
      <c r="C15" s="3" t="s">
        <v>29</v>
      </c>
      <c r="D15" s="4">
        <v>150</v>
      </c>
      <c r="E15" s="4">
        <v>15</v>
      </c>
      <c r="F15" s="3" t="s">
        <v>15</v>
      </c>
    </row>
    <row r="16" spans="1:11" ht="25.2" customHeight="1" thickBot="1" x14ac:dyDescent="0.35">
      <c r="A16" s="1" t="s">
        <v>89</v>
      </c>
      <c r="B16" s="1" t="s">
        <v>30</v>
      </c>
      <c r="C16" s="1" t="s">
        <v>31</v>
      </c>
      <c r="D16" s="2">
        <v>250</v>
      </c>
      <c r="E16" s="2">
        <v>20</v>
      </c>
      <c r="F16" s="1" t="s">
        <v>15</v>
      </c>
    </row>
    <row r="17" spans="1:6" ht="25.2" customHeight="1" thickBot="1" x14ac:dyDescent="0.35">
      <c r="A17" s="3" t="s">
        <v>90</v>
      </c>
      <c r="B17" s="3" t="s">
        <v>32</v>
      </c>
      <c r="C17" s="3" t="s">
        <v>33</v>
      </c>
      <c r="D17" s="4">
        <v>50</v>
      </c>
      <c r="E17" s="4">
        <v>35</v>
      </c>
      <c r="F17" s="3" t="s">
        <v>34</v>
      </c>
    </row>
    <row r="18" spans="1:6" ht="25.2" customHeight="1" thickBot="1" x14ac:dyDescent="0.35">
      <c r="A18" s="1" t="s">
        <v>91</v>
      </c>
      <c r="B18" s="1" t="s">
        <v>28</v>
      </c>
      <c r="C18" s="1" t="s">
        <v>35</v>
      </c>
      <c r="D18" s="2">
        <v>160</v>
      </c>
      <c r="E18" s="2">
        <v>15</v>
      </c>
      <c r="F18" s="1" t="s">
        <v>15</v>
      </c>
    </row>
    <row r="19" spans="1:6" ht="25.2" customHeight="1" thickBot="1" x14ac:dyDescent="0.35">
      <c r="A19" s="3" t="s">
        <v>92</v>
      </c>
      <c r="B19" s="3" t="s">
        <v>0</v>
      </c>
      <c r="C19" s="3" t="s">
        <v>36</v>
      </c>
      <c r="D19" s="4">
        <v>980</v>
      </c>
      <c r="E19" s="4">
        <v>10</v>
      </c>
      <c r="F19" s="3" t="s">
        <v>2</v>
      </c>
    </row>
    <row r="20" spans="1:6" ht="25.2" customHeight="1" thickBot="1" x14ac:dyDescent="0.35">
      <c r="A20" s="1" t="s">
        <v>93</v>
      </c>
      <c r="B20" s="1" t="s">
        <v>37</v>
      </c>
      <c r="C20" s="1" t="s">
        <v>38</v>
      </c>
      <c r="D20" s="2">
        <v>150</v>
      </c>
      <c r="E20" s="2">
        <v>15</v>
      </c>
      <c r="F20" s="1" t="s">
        <v>5</v>
      </c>
    </row>
    <row r="21" spans="1:6" ht="25.2" customHeight="1" thickBot="1" x14ac:dyDescent="0.35">
      <c r="A21" s="3" t="s">
        <v>94</v>
      </c>
      <c r="B21" s="3" t="s">
        <v>39</v>
      </c>
      <c r="C21" s="3" t="s">
        <v>40</v>
      </c>
      <c r="D21" s="3">
        <v>309.35399999999998</v>
      </c>
      <c r="E21" s="4">
        <v>10</v>
      </c>
      <c r="F21" s="3" t="s">
        <v>24</v>
      </c>
    </row>
    <row r="22" spans="1:6" ht="25.2" customHeight="1" thickBot="1" x14ac:dyDescent="0.35">
      <c r="A22" s="1" t="s">
        <v>95</v>
      </c>
      <c r="B22" s="1" t="s">
        <v>41</v>
      </c>
      <c r="C22" s="1" t="s">
        <v>42</v>
      </c>
      <c r="D22" s="2">
        <v>700</v>
      </c>
      <c r="E22" s="2">
        <v>50</v>
      </c>
      <c r="F22" s="1" t="s">
        <v>2</v>
      </c>
    </row>
    <row r="23" spans="1:6" ht="25.2" customHeight="1" thickBot="1" x14ac:dyDescent="0.35">
      <c r="A23" s="3" t="s">
        <v>96</v>
      </c>
      <c r="B23" s="3" t="s">
        <v>43</v>
      </c>
      <c r="C23" s="3" t="s">
        <v>44</v>
      </c>
      <c r="D23" s="4">
        <v>80</v>
      </c>
      <c r="E23" s="4">
        <v>20</v>
      </c>
      <c r="F23" s="3" t="s">
        <v>8</v>
      </c>
    </row>
    <row r="24" spans="1:6" ht="25.2" customHeight="1" thickBot="1" x14ac:dyDescent="0.35">
      <c r="A24" s="1" t="s">
        <v>97</v>
      </c>
      <c r="B24" s="1" t="s">
        <v>45</v>
      </c>
      <c r="C24" s="1" t="s">
        <v>46</v>
      </c>
      <c r="D24" s="2">
        <v>150</v>
      </c>
      <c r="E24" s="2">
        <v>30</v>
      </c>
      <c r="F24" s="1" t="s">
        <v>2</v>
      </c>
    </row>
    <row r="25" spans="1:6" ht="25.2" customHeight="1" thickBot="1" x14ac:dyDescent="0.35">
      <c r="A25" s="3" t="s">
        <v>90</v>
      </c>
      <c r="B25" s="3" t="s">
        <v>32</v>
      </c>
      <c r="C25" s="3" t="s">
        <v>33</v>
      </c>
      <c r="D25" s="4">
        <v>50</v>
      </c>
      <c r="E25" s="4">
        <v>35</v>
      </c>
      <c r="F25" s="3" t="s">
        <v>34</v>
      </c>
    </row>
    <row r="26" spans="1:6" ht="25.2" customHeight="1" thickBot="1" x14ac:dyDescent="0.35">
      <c r="A26" s="1" t="s">
        <v>98</v>
      </c>
      <c r="B26" s="1" t="s">
        <v>47</v>
      </c>
      <c r="C26" s="1" t="s">
        <v>48</v>
      </c>
      <c r="D26" s="2">
        <v>800</v>
      </c>
      <c r="E26" s="2">
        <v>45</v>
      </c>
      <c r="F26" s="1" t="s">
        <v>2</v>
      </c>
    </row>
    <row r="27" spans="1:6" ht="25.2" customHeight="1" thickBot="1" x14ac:dyDescent="0.35">
      <c r="A27" s="3" t="s">
        <v>99</v>
      </c>
      <c r="B27" s="3" t="s">
        <v>37</v>
      </c>
      <c r="C27" s="3" t="s">
        <v>49</v>
      </c>
      <c r="D27" s="3">
        <v>309.35399999999998</v>
      </c>
      <c r="E27" s="4">
        <v>25</v>
      </c>
      <c r="F27" s="3" t="s">
        <v>5</v>
      </c>
    </row>
    <row r="28" spans="1:6" ht="25.2" customHeight="1" thickBot="1" x14ac:dyDescent="0.35">
      <c r="A28" s="1" t="s">
        <v>100</v>
      </c>
      <c r="B28" s="1" t="s">
        <v>18</v>
      </c>
      <c r="C28" s="1" t="s">
        <v>50</v>
      </c>
      <c r="D28" s="2">
        <v>400</v>
      </c>
      <c r="E28" s="2">
        <v>40</v>
      </c>
      <c r="F28" s="1" t="s">
        <v>8</v>
      </c>
    </row>
    <row r="29" spans="1:6" ht="25.2" customHeight="1" thickBot="1" x14ac:dyDescent="0.35">
      <c r="A29" s="3" t="s">
        <v>89</v>
      </c>
      <c r="B29" s="3" t="s">
        <v>30</v>
      </c>
      <c r="C29" s="3" t="s">
        <v>31</v>
      </c>
      <c r="D29" s="4">
        <v>250</v>
      </c>
      <c r="E29" s="4">
        <v>20</v>
      </c>
      <c r="F29" s="3" t="s">
        <v>15</v>
      </c>
    </row>
    <row r="30" spans="1:6" ht="25.2" customHeight="1" thickBot="1" x14ac:dyDescent="0.35">
      <c r="A30" s="1" t="s">
        <v>101</v>
      </c>
      <c r="B30" s="1" t="s">
        <v>51</v>
      </c>
      <c r="C30" s="1" t="s">
        <v>52</v>
      </c>
      <c r="D30" s="2">
        <v>60</v>
      </c>
      <c r="E30" s="2">
        <v>30</v>
      </c>
      <c r="F30" s="1" t="s">
        <v>5</v>
      </c>
    </row>
    <row r="31" spans="1:6" ht="25.2" customHeight="1" thickBot="1" x14ac:dyDescent="0.35">
      <c r="A31" s="3" t="s">
        <v>102</v>
      </c>
      <c r="B31" s="3" t="s">
        <v>53</v>
      </c>
      <c r="C31" s="3" t="s">
        <v>54</v>
      </c>
      <c r="D31" s="4">
        <v>40</v>
      </c>
      <c r="E31" s="4">
        <v>10</v>
      </c>
      <c r="F31" s="3" t="s">
        <v>8</v>
      </c>
    </row>
    <row r="32" spans="1:6" ht="25.2" customHeight="1" thickBot="1" x14ac:dyDescent="0.35">
      <c r="A32" s="1" t="s">
        <v>103</v>
      </c>
      <c r="B32" s="1" t="s">
        <v>45</v>
      </c>
      <c r="C32" s="1" t="s">
        <v>55</v>
      </c>
      <c r="D32" s="2">
        <v>130</v>
      </c>
      <c r="E32" s="2">
        <v>5</v>
      </c>
      <c r="F32" s="1" t="s">
        <v>2</v>
      </c>
    </row>
    <row r="33" spans="1:6" ht="25.2" customHeight="1" thickBot="1" x14ac:dyDescent="0.35">
      <c r="A33" s="3" t="s">
        <v>104</v>
      </c>
      <c r="B33" s="3" t="s">
        <v>56</v>
      </c>
      <c r="C33" s="3" t="s">
        <v>57</v>
      </c>
      <c r="D33" s="4">
        <v>50</v>
      </c>
      <c r="E33" s="4">
        <v>50</v>
      </c>
      <c r="F33" s="3" t="s">
        <v>5</v>
      </c>
    </row>
    <row r="34" spans="1:6" ht="25.2" customHeight="1" thickBot="1" x14ac:dyDescent="0.35">
      <c r="A34" s="1" t="s">
        <v>105</v>
      </c>
      <c r="B34" s="1" t="s">
        <v>25</v>
      </c>
      <c r="C34" s="1" t="s">
        <v>26</v>
      </c>
      <c r="D34" s="2">
        <v>950</v>
      </c>
      <c r="E34" s="2">
        <v>25</v>
      </c>
      <c r="F34" s="1" t="s">
        <v>2</v>
      </c>
    </row>
    <row r="35" spans="1:6" ht="25.2" customHeight="1" thickBot="1" x14ac:dyDescent="0.35">
      <c r="A35" s="3" t="s">
        <v>106</v>
      </c>
      <c r="B35" s="3" t="s">
        <v>58</v>
      </c>
      <c r="C35" s="3" t="s">
        <v>59</v>
      </c>
      <c r="D35" s="4">
        <v>100</v>
      </c>
      <c r="E35" s="4">
        <v>20</v>
      </c>
      <c r="F35" s="3" t="s">
        <v>34</v>
      </c>
    </row>
  </sheetData>
  <mergeCells count="1"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789E-7857-4CA3-A162-4B2722A6B8E3}">
  <dimension ref="A1:M35"/>
  <sheetViews>
    <sheetView workbookViewId="0">
      <selection activeCell="J31" sqref="J31"/>
    </sheetView>
  </sheetViews>
  <sheetFormatPr defaultColWidth="14.21875" defaultRowHeight="32.4" customHeight="1" x14ac:dyDescent="0.3"/>
  <cols>
    <col min="1" max="1" width="17.5546875" customWidth="1"/>
    <col min="13" max="13" width="16.88671875" customWidth="1"/>
  </cols>
  <sheetData>
    <row r="1" spans="1:13" ht="32.4" customHeight="1" thickBot="1" x14ac:dyDescent="0.35">
      <c r="A1" s="6" t="s">
        <v>60</v>
      </c>
      <c r="B1" s="6" t="s">
        <v>61</v>
      </c>
      <c r="C1" s="6" t="s">
        <v>107</v>
      </c>
      <c r="D1" s="6" t="s">
        <v>62</v>
      </c>
      <c r="E1" s="6" t="s">
        <v>63</v>
      </c>
      <c r="F1" s="6" t="s">
        <v>64</v>
      </c>
      <c r="G1" s="6" t="s">
        <v>65</v>
      </c>
    </row>
    <row r="2" spans="1:13" ht="32.4" customHeight="1" thickBot="1" x14ac:dyDescent="0.35">
      <c r="A2" s="1" t="s">
        <v>75</v>
      </c>
      <c r="B2" s="7" t="s">
        <v>0</v>
      </c>
      <c r="C2" s="7" t="str" cm="1">
        <f t="array" ref="C2:C35">PROPER(B2:B35)</f>
        <v>Laptop</v>
      </c>
      <c r="D2" s="7" t="s">
        <v>1</v>
      </c>
      <c r="E2" s="8">
        <v>1000</v>
      </c>
      <c r="F2" s="8">
        <v>30</v>
      </c>
      <c r="G2" s="7" t="s">
        <v>2</v>
      </c>
    </row>
    <row r="3" spans="1:13" ht="32.4" customHeight="1" thickBot="1" x14ac:dyDescent="0.4">
      <c r="A3" s="3" t="s">
        <v>76</v>
      </c>
      <c r="B3" s="10" t="s">
        <v>3</v>
      </c>
      <c r="C3" s="10" t="str">
        <v>Sneakers</v>
      </c>
      <c r="D3" s="10" t="s">
        <v>4</v>
      </c>
      <c r="E3" s="11">
        <v>80</v>
      </c>
      <c r="F3" s="11">
        <v>15</v>
      </c>
      <c r="G3" s="10" t="s">
        <v>5</v>
      </c>
      <c r="K3" s="13">
        <v>2</v>
      </c>
      <c r="L3" s="14" t="s">
        <v>74</v>
      </c>
      <c r="M3" s="14"/>
    </row>
    <row r="4" spans="1:13" ht="32.4" customHeight="1" thickBot="1" x14ac:dyDescent="0.35">
      <c r="A4" s="1" t="s">
        <v>77</v>
      </c>
      <c r="B4" s="7" t="s">
        <v>6</v>
      </c>
      <c r="C4" s="7" t="str">
        <v>Coffee Maker</v>
      </c>
      <c r="D4" s="7" t="s">
        <v>7</v>
      </c>
      <c r="E4" s="8">
        <v>130</v>
      </c>
      <c r="F4" s="8">
        <v>40</v>
      </c>
      <c r="G4" s="7" t="s">
        <v>8</v>
      </c>
      <c r="I4" s="9"/>
    </row>
    <row r="5" spans="1:13" ht="32.4" customHeight="1" thickBot="1" x14ac:dyDescent="0.35">
      <c r="A5" s="3" t="s">
        <v>78</v>
      </c>
      <c r="B5" s="10" t="s">
        <v>9</v>
      </c>
      <c r="C5" s="10" t="str">
        <v>Smartphone</v>
      </c>
      <c r="D5" s="10" t="s">
        <v>10</v>
      </c>
      <c r="E5" s="11">
        <v>900</v>
      </c>
      <c r="F5" s="11">
        <v>25</v>
      </c>
      <c r="G5" s="10" t="s">
        <v>2</v>
      </c>
    </row>
    <row r="6" spans="1:13" ht="32.4" customHeight="1" thickBot="1" x14ac:dyDescent="0.35">
      <c r="A6" s="1" t="s">
        <v>79</v>
      </c>
      <c r="B6" s="7" t="s">
        <v>11</v>
      </c>
      <c r="C6" s="7" t="str">
        <v>Backpack</v>
      </c>
      <c r="D6" s="7" t="s">
        <v>12</v>
      </c>
      <c r="E6" s="8">
        <v>70</v>
      </c>
      <c r="F6" s="8">
        <v>20</v>
      </c>
      <c r="G6" s="7" t="s">
        <v>34</v>
      </c>
    </row>
    <row r="7" spans="1:13" ht="32.4" customHeight="1" thickBot="1" x14ac:dyDescent="0.35">
      <c r="A7" s="3" t="s">
        <v>80</v>
      </c>
      <c r="B7" s="10" t="s">
        <v>13</v>
      </c>
      <c r="C7" s="10" t="str">
        <v>Headphones</v>
      </c>
      <c r="D7" s="10" t="s">
        <v>14</v>
      </c>
      <c r="E7" s="10">
        <v>309.35399999999998</v>
      </c>
      <c r="F7" s="11">
        <v>45</v>
      </c>
      <c r="G7" s="10" t="s">
        <v>2</v>
      </c>
    </row>
    <row r="8" spans="1:13" ht="32.4" customHeight="1" thickBot="1" x14ac:dyDescent="0.35">
      <c r="A8" s="1" t="s">
        <v>81</v>
      </c>
      <c r="B8" s="7" t="s">
        <v>16</v>
      </c>
      <c r="C8" s="7" t="str">
        <v>T-Shirt</v>
      </c>
      <c r="D8" s="7" t="s">
        <v>17</v>
      </c>
      <c r="E8" s="8">
        <v>30</v>
      </c>
      <c r="F8" s="8">
        <v>5</v>
      </c>
      <c r="G8" s="7" t="s">
        <v>5</v>
      </c>
    </row>
    <row r="9" spans="1:13" ht="32.4" customHeight="1" thickBot="1" x14ac:dyDescent="0.35">
      <c r="A9" s="3" t="s">
        <v>82</v>
      </c>
      <c r="B9" s="10" t="s">
        <v>18</v>
      </c>
      <c r="C9" s="10" t="str">
        <v>Blender</v>
      </c>
      <c r="D9" s="10" t="s">
        <v>19</v>
      </c>
      <c r="E9" s="11">
        <v>90</v>
      </c>
      <c r="F9" s="11">
        <v>35</v>
      </c>
      <c r="G9" s="10" t="s">
        <v>8</v>
      </c>
      <c r="K9" s="9"/>
    </row>
    <row r="10" spans="1:13" ht="32.4" customHeight="1" thickBot="1" x14ac:dyDescent="0.35">
      <c r="A10" s="1" t="s">
        <v>83</v>
      </c>
      <c r="B10" s="7" t="s">
        <v>20</v>
      </c>
      <c r="C10" s="7" t="str">
        <v>Tablet</v>
      </c>
      <c r="D10" s="7" t="s">
        <v>21</v>
      </c>
      <c r="E10" s="8">
        <v>500</v>
      </c>
      <c r="F10" s="8">
        <v>50</v>
      </c>
      <c r="G10" s="7" t="s">
        <v>2</v>
      </c>
    </row>
    <row r="11" spans="1:13" ht="32.4" customHeight="1" thickBot="1" x14ac:dyDescent="0.35">
      <c r="A11" s="3" t="s">
        <v>84</v>
      </c>
      <c r="B11" s="10" t="s">
        <v>22</v>
      </c>
      <c r="C11" s="10" t="str">
        <v>Hiking Boots</v>
      </c>
      <c r="D11" s="10" t="s">
        <v>23</v>
      </c>
      <c r="E11" s="11">
        <v>130</v>
      </c>
      <c r="F11" s="11">
        <v>10</v>
      </c>
      <c r="G11" s="10" t="s">
        <v>24</v>
      </c>
    </row>
    <row r="12" spans="1:13" ht="32.4" customHeight="1" thickBot="1" x14ac:dyDescent="0.35">
      <c r="A12" s="1" t="s">
        <v>85</v>
      </c>
      <c r="B12" s="7" t="s">
        <v>25</v>
      </c>
      <c r="C12" s="7" t="str">
        <v>Laptop</v>
      </c>
      <c r="D12" s="7" t="s">
        <v>26</v>
      </c>
      <c r="E12" s="8">
        <v>950</v>
      </c>
      <c r="F12" s="8">
        <v>25</v>
      </c>
      <c r="G12" s="7" t="s">
        <v>2</v>
      </c>
    </row>
    <row r="13" spans="1:13" ht="32.4" customHeight="1" thickBot="1" x14ac:dyDescent="0.35">
      <c r="A13" s="3" t="s">
        <v>86</v>
      </c>
      <c r="B13" s="10" t="s">
        <v>3</v>
      </c>
      <c r="C13" s="10" t="str">
        <v>Sneakers</v>
      </c>
      <c r="D13" s="10" t="s">
        <v>17</v>
      </c>
      <c r="E13" s="11">
        <v>90</v>
      </c>
      <c r="F13" s="11">
        <v>40</v>
      </c>
      <c r="G13" s="10" t="s">
        <v>5</v>
      </c>
    </row>
    <row r="14" spans="1:13" ht="32.4" customHeight="1" thickBot="1" x14ac:dyDescent="0.35">
      <c r="A14" s="1" t="s">
        <v>87</v>
      </c>
      <c r="B14" s="7" t="s">
        <v>6</v>
      </c>
      <c r="C14" s="7" t="str">
        <v>Coffee Maker</v>
      </c>
      <c r="D14" s="7" t="s">
        <v>27</v>
      </c>
      <c r="E14" s="8">
        <v>120</v>
      </c>
      <c r="F14" s="8">
        <v>35</v>
      </c>
      <c r="G14" s="7" t="s">
        <v>8</v>
      </c>
    </row>
    <row r="15" spans="1:13" ht="32.4" customHeight="1" thickBot="1" x14ac:dyDescent="0.35">
      <c r="A15" s="3" t="s">
        <v>88</v>
      </c>
      <c r="B15" s="10" t="s">
        <v>28</v>
      </c>
      <c r="C15" s="10" t="str">
        <v>Smartwatch</v>
      </c>
      <c r="D15" s="10" t="s">
        <v>29</v>
      </c>
      <c r="E15" s="11">
        <v>150</v>
      </c>
      <c r="F15" s="11">
        <v>15</v>
      </c>
      <c r="G15" s="10" t="s">
        <v>2</v>
      </c>
    </row>
    <row r="16" spans="1:13" ht="32.4" customHeight="1" thickBot="1" x14ac:dyDescent="0.35">
      <c r="A16" s="1" t="s">
        <v>89</v>
      </c>
      <c r="B16" s="7" t="s">
        <v>30</v>
      </c>
      <c r="C16" s="7" t="str">
        <v>Headphones</v>
      </c>
      <c r="D16" s="7" t="s">
        <v>31</v>
      </c>
      <c r="E16" s="8">
        <v>250</v>
      </c>
      <c r="F16" s="8">
        <v>20</v>
      </c>
      <c r="G16" s="7" t="s">
        <v>2</v>
      </c>
    </row>
    <row r="17" spans="1:7" ht="32.4" customHeight="1" thickBot="1" x14ac:dyDescent="0.35">
      <c r="A17" s="3" t="s">
        <v>90</v>
      </c>
      <c r="B17" s="10" t="s">
        <v>32</v>
      </c>
      <c r="C17" s="10" t="str">
        <v>Laptop Bag</v>
      </c>
      <c r="D17" s="10" t="s">
        <v>33</v>
      </c>
      <c r="E17" s="11">
        <v>50</v>
      </c>
      <c r="F17" s="11">
        <v>35</v>
      </c>
      <c r="G17" s="10" t="s">
        <v>34</v>
      </c>
    </row>
    <row r="18" spans="1:7" ht="32.4" customHeight="1" thickBot="1" x14ac:dyDescent="0.35">
      <c r="A18" s="1" t="s">
        <v>91</v>
      </c>
      <c r="B18" s="7" t="s">
        <v>28</v>
      </c>
      <c r="C18" s="7" t="str">
        <v>Smartwatch</v>
      </c>
      <c r="D18" s="7" t="s">
        <v>35</v>
      </c>
      <c r="E18" s="8">
        <v>160</v>
      </c>
      <c r="F18" s="8">
        <v>15</v>
      </c>
      <c r="G18" s="7" t="s">
        <v>2</v>
      </c>
    </row>
    <row r="19" spans="1:7" ht="32.4" customHeight="1" thickBot="1" x14ac:dyDescent="0.35">
      <c r="A19" s="3" t="s">
        <v>92</v>
      </c>
      <c r="B19" s="10" t="s">
        <v>0</v>
      </c>
      <c r="C19" s="10" t="str">
        <v>Laptop</v>
      </c>
      <c r="D19" s="10" t="s">
        <v>36</v>
      </c>
      <c r="E19" s="11">
        <v>980</v>
      </c>
      <c r="F19" s="11">
        <v>10</v>
      </c>
      <c r="G19" s="10" t="s">
        <v>2</v>
      </c>
    </row>
    <row r="20" spans="1:7" ht="32.4" customHeight="1" thickBot="1" x14ac:dyDescent="0.35">
      <c r="A20" s="1" t="s">
        <v>93</v>
      </c>
      <c r="B20" s="7" t="s">
        <v>37</v>
      </c>
      <c r="C20" s="7" t="str">
        <v>Sunglasses</v>
      </c>
      <c r="D20" s="7" t="s">
        <v>38</v>
      </c>
      <c r="E20" s="8">
        <v>150</v>
      </c>
      <c r="F20" s="8">
        <v>15</v>
      </c>
      <c r="G20" s="7" t="s">
        <v>5</v>
      </c>
    </row>
    <row r="21" spans="1:7" ht="32.4" customHeight="1" thickBot="1" x14ac:dyDescent="0.35">
      <c r="A21" s="3" t="s">
        <v>94</v>
      </c>
      <c r="B21" s="10" t="s">
        <v>39</v>
      </c>
      <c r="C21" s="10" t="str">
        <v>Camping Tent</v>
      </c>
      <c r="D21" s="10" t="s">
        <v>40</v>
      </c>
      <c r="E21" s="10">
        <v>309.35399999999998</v>
      </c>
      <c r="F21" s="11">
        <v>10</v>
      </c>
      <c r="G21" s="10" t="s">
        <v>24</v>
      </c>
    </row>
    <row r="22" spans="1:7" ht="32.4" customHeight="1" thickBot="1" x14ac:dyDescent="0.35">
      <c r="A22" s="1" t="s">
        <v>95</v>
      </c>
      <c r="B22" s="7" t="s">
        <v>41</v>
      </c>
      <c r="C22" s="7" t="str">
        <v>Camera</v>
      </c>
      <c r="D22" s="7" t="s">
        <v>42</v>
      </c>
      <c r="E22" s="8">
        <v>700</v>
      </c>
      <c r="F22" s="8">
        <v>50</v>
      </c>
      <c r="G22" s="7" t="s">
        <v>2</v>
      </c>
    </row>
    <row r="23" spans="1:7" ht="32.4" customHeight="1" thickBot="1" x14ac:dyDescent="0.35">
      <c r="A23" s="3" t="s">
        <v>96</v>
      </c>
      <c r="B23" s="10" t="s">
        <v>43</v>
      </c>
      <c r="C23" s="10" t="str">
        <v>Microwave</v>
      </c>
      <c r="D23" s="10" t="s">
        <v>44</v>
      </c>
      <c r="E23" s="11">
        <v>80</v>
      </c>
      <c r="F23" s="11">
        <v>20</v>
      </c>
      <c r="G23" s="10" t="s">
        <v>8</v>
      </c>
    </row>
    <row r="24" spans="1:7" ht="32.4" customHeight="1" thickBot="1" x14ac:dyDescent="0.35">
      <c r="A24" s="1" t="s">
        <v>97</v>
      </c>
      <c r="B24" s="7" t="s">
        <v>45</v>
      </c>
      <c r="C24" s="7" t="str">
        <v>Fitness Tracker</v>
      </c>
      <c r="D24" s="7" t="s">
        <v>46</v>
      </c>
      <c r="E24" s="8">
        <v>150</v>
      </c>
      <c r="F24" s="8">
        <v>30</v>
      </c>
      <c r="G24" s="7" t="s">
        <v>2</v>
      </c>
    </row>
    <row r="25" spans="1:7" ht="32.4" customHeight="1" thickBot="1" x14ac:dyDescent="0.35">
      <c r="A25" s="3" t="s">
        <v>90</v>
      </c>
      <c r="B25" s="10" t="s">
        <v>32</v>
      </c>
      <c r="C25" s="10" t="str">
        <v>Laptop Bag</v>
      </c>
      <c r="D25" s="10" t="s">
        <v>33</v>
      </c>
      <c r="E25" s="11">
        <v>50</v>
      </c>
      <c r="F25" s="11">
        <v>35</v>
      </c>
      <c r="G25" s="10" t="s">
        <v>34</v>
      </c>
    </row>
    <row r="26" spans="1:7" ht="32.4" customHeight="1" thickBot="1" x14ac:dyDescent="0.35">
      <c r="A26" s="1" t="s">
        <v>98</v>
      </c>
      <c r="B26" s="7" t="s">
        <v>47</v>
      </c>
      <c r="C26" s="7" t="str">
        <v>Smartphone</v>
      </c>
      <c r="D26" s="7" t="s">
        <v>48</v>
      </c>
      <c r="E26" s="8">
        <v>800</v>
      </c>
      <c r="F26" s="8">
        <v>45</v>
      </c>
      <c r="G26" s="7" t="s">
        <v>2</v>
      </c>
    </row>
    <row r="27" spans="1:7" ht="32.4" customHeight="1" thickBot="1" x14ac:dyDescent="0.35">
      <c r="A27" s="3" t="s">
        <v>99</v>
      </c>
      <c r="B27" s="10" t="s">
        <v>37</v>
      </c>
      <c r="C27" s="10" t="str">
        <v>Sunglasses</v>
      </c>
      <c r="D27" s="10" t="s">
        <v>49</v>
      </c>
      <c r="E27" s="10">
        <v>309.35399999999998</v>
      </c>
      <c r="F27" s="11">
        <v>25</v>
      </c>
      <c r="G27" s="10" t="s">
        <v>5</v>
      </c>
    </row>
    <row r="28" spans="1:7" ht="32.4" customHeight="1" thickBot="1" x14ac:dyDescent="0.35">
      <c r="A28" s="1" t="s">
        <v>100</v>
      </c>
      <c r="B28" s="7" t="s">
        <v>18</v>
      </c>
      <c r="C28" s="7" t="str">
        <v>Blender</v>
      </c>
      <c r="D28" s="7" t="s">
        <v>50</v>
      </c>
      <c r="E28" s="8">
        <v>400</v>
      </c>
      <c r="F28" s="8">
        <v>40</v>
      </c>
      <c r="G28" s="7" t="s">
        <v>8</v>
      </c>
    </row>
    <row r="29" spans="1:7" ht="32.4" customHeight="1" thickBot="1" x14ac:dyDescent="0.35">
      <c r="A29" s="3" t="s">
        <v>89</v>
      </c>
      <c r="B29" s="10" t="s">
        <v>30</v>
      </c>
      <c r="C29" s="10" t="str">
        <v>Headphones</v>
      </c>
      <c r="D29" s="10" t="s">
        <v>31</v>
      </c>
      <c r="E29" s="11">
        <v>250</v>
      </c>
      <c r="F29" s="11">
        <v>20</v>
      </c>
      <c r="G29" s="10" t="s">
        <v>2</v>
      </c>
    </row>
    <row r="30" spans="1:7" ht="32.4" customHeight="1" thickBot="1" x14ac:dyDescent="0.35">
      <c r="A30" s="1" t="s">
        <v>101</v>
      </c>
      <c r="B30" s="7" t="s">
        <v>51</v>
      </c>
      <c r="C30" s="7" t="str">
        <v>Dress</v>
      </c>
      <c r="D30" s="7" t="s">
        <v>52</v>
      </c>
      <c r="E30" s="8">
        <v>60</v>
      </c>
      <c r="F30" s="8">
        <v>30</v>
      </c>
      <c r="G30" s="7" t="s">
        <v>5</v>
      </c>
    </row>
    <row r="31" spans="1:7" ht="32.4" customHeight="1" thickBot="1" x14ac:dyDescent="0.35">
      <c r="A31" s="3" t="s">
        <v>102</v>
      </c>
      <c r="B31" s="10" t="s">
        <v>53</v>
      </c>
      <c r="C31" s="10" t="str">
        <v>Toaster</v>
      </c>
      <c r="D31" s="10" t="s">
        <v>54</v>
      </c>
      <c r="E31" s="11">
        <v>40</v>
      </c>
      <c r="F31" s="11">
        <v>10</v>
      </c>
      <c r="G31" s="10" t="s">
        <v>8</v>
      </c>
    </row>
    <row r="32" spans="1:7" ht="32.4" customHeight="1" thickBot="1" x14ac:dyDescent="0.35">
      <c r="A32" s="1" t="s">
        <v>103</v>
      </c>
      <c r="B32" s="7" t="s">
        <v>45</v>
      </c>
      <c r="C32" s="7" t="str">
        <v>Fitness Tracker</v>
      </c>
      <c r="D32" s="7" t="s">
        <v>55</v>
      </c>
      <c r="E32" s="8">
        <v>130</v>
      </c>
      <c r="F32" s="8">
        <v>5</v>
      </c>
      <c r="G32" s="7" t="s">
        <v>2</v>
      </c>
    </row>
    <row r="33" spans="1:7" ht="32.4" customHeight="1" thickBot="1" x14ac:dyDescent="0.35">
      <c r="A33" s="3" t="s">
        <v>104</v>
      </c>
      <c r="B33" s="10" t="s">
        <v>56</v>
      </c>
      <c r="C33" s="10" t="str">
        <v>Jeans</v>
      </c>
      <c r="D33" s="10" t="s">
        <v>57</v>
      </c>
      <c r="E33" s="11">
        <v>50</v>
      </c>
      <c r="F33" s="11">
        <v>50</v>
      </c>
      <c r="G33" s="10" t="s">
        <v>5</v>
      </c>
    </row>
    <row r="34" spans="1:7" ht="32.4" customHeight="1" thickBot="1" x14ac:dyDescent="0.35">
      <c r="A34" s="1" t="s">
        <v>105</v>
      </c>
      <c r="B34" s="7" t="s">
        <v>25</v>
      </c>
      <c r="C34" s="7" t="str">
        <v>Laptop</v>
      </c>
      <c r="D34" s="7" t="s">
        <v>26</v>
      </c>
      <c r="E34" s="8">
        <v>950</v>
      </c>
      <c r="F34" s="8">
        <v>25</v>
      </c>
      <c r="G34" s="7" t="s">
        <v>2</v>
      </c>
    </row>
    <row r="35" spans="1:7" ht="32.4" customHeight="1" thickBot="1" x14ac:dyDescent="0.35">
      <c r="A35" s="3" t="s">
        <v>106</v>
      </c>
      <c r="B35" s="10" t="s">
        <v>58</v>
      </c>
      <c r="C35" s="10" t="str">
        <v>Watch</v>
      </c>
      <c r="D35" s="10" t="s">
        <v>59</v>
      </c>
      <c r="E35" s="11">
        <v>100</v>
      </c>
      <c r="F35" s="11">
        <v>20</v>
      </c>
      <c r="G35" s="10" t="s">
        <v>34</v>
      </c>
    </row>
  </sheetData>
  <mergeCells count="1">
    <mergeCell ref="L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5093-BC5F-469E-8069-73F250411B91}">
  <dimension ref="A1:J33"/>
  <sheetViews>
    <sheetView workbookViewId="0">
      <selection activeCell="G7" sqref="G7"/>
    </sheetView>
  </sheetViews>
  <sheetFormatPr defaultColWidth="16.88671875" defaultRowHeight="30.6" customHeight="1" x14ac:dyDescent="0.3"/>
  <sheetData>
    <row r="1" spans="1:10" ht="30.6" customHeight="1" thickBot="1" x14ac:dyDescent="0.3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</row>
    <row r="2" spans="1:10" ht="30.6" customHeight="1" thickBot="1" x14ac:dyDescent="0.45">
      <c r="A2" s="1" t="s">
        <v>75</v>
      </c>
      <c r="B2" s="1" t="s">
        <v>0</v>
      </c>
      <c r="C2" s="1" t="s">
        <v>1</v>
      </c>
      <c r="D2" s="2">
        <v>1000</v>
      </c>
      <c r="E2" s="2">
        <v>30</v>
      </c>
      <c r="F2" s="1" t="s">
        <v>2</v>
      </c>
      <c r="H2" s="15">
        <v>3</v>
      </c>
      <c r="I2" s="16" t="s">
        <v>67</v>
      </c>
      <c r="J2" s="16"/>
    </row>
    <row r="3" spans="1:10" ht="30.6" customHeight="1" thickBot="1" x14ac:dyDescent="0.35">
      <c r="A3" s="3" t="s">
        <v>76</v>
      </c>
      <c r="B3" s="3" t="s">
        <v>3</v>
      </c>
      <c r="C3" s="3" t="s">
        <v>4</v>
      </c>
      <c r="D3" s="4">
        <v>80</v>
      </c>
      <c r="E3" s="4">
        <v>15</v>
      </c>
      <c r="F3" s="3" t="s">
        <v>5</v>
      </c>
    </row>
    <row r="4" spans="1:10" ht="30.6" customHeight="1" thickBot="1" x14ac:dyDescent="0.35">
      <c r="A4" s="1" t="s">
        <v>77</v>
      </c>
      <c r="B4" s="1" t="s">
        <v>6</v>
      </c>
      <c r="C4" s="1" t="s">
        <v>7</v>
      </c>
      <c r="D4" s="2">
        <v>130</v>
      </c>
      <c r="E4" s="2">
        <v>40</v>
      </c>
      <c r="F4" s="1" t="s">
        <v>8</v>
      </c>
    </row>
    <row r="5" spans="1:10" ht="30.6" customHeight="1" thickBot="1" x14ac:dyDescent="0.35">
      <c r="A5" s="3" t="s">
        <v>78</v>
      </c>
      <c r="B5" s="3" t="s">
        <v>9</v>
      </c>
      <c r="C5" s="3" t="s">
        <v>10</v>
      </c>
      <c r="D5" s="4">
        <v>900</v>
      </c>
      <c r="E5" s="4">
        <v>25</v>
      </c>
      <c r="F5" s="3" t="s">
        <v>2</v>
      </c>
    </row>
    <row r="6" spans="1:10" ht="30.6" customHeight="1" thickBot="1" x14ac:dyDescent="0.35">
      <c r="A6" s="1" t="s">
        <v>79</v>
      </c>
      <c r="B6" s="1" t="s">
        <v>11</v>
      </c>
      <c r="C6" s="1" t="s">
        <v>12</v>
      </c>
      <c r="D6" s="2">
        <v>70</v>
      </c>
      <c r="E6" s="2">
        <v>20</v>
      </c>
      <c r="F6" s="1"/>
    </row>
    <row r="7" spans="1:10" ht="30.6" customHeight="1" thickBot="1" x14ac:dyDescent="0.35">
      <c r="A7" s="3" t="s">
        <v>80</v>
      </c>
      <c r="B7" s="3" t="s">
        <v>13</v>
      </c>
      <c r="C7" s="3" t="s">
        <v>14</v>
      </c>
      <c r="D7" s="3"/>
      <c r="E7" s="4">
        <v>45</v>
      </c>
      <c r="F7" s="3" t="s">
        <v>15</v>
      </c>
    </row>
    <row r="8" spans="1:10" ht="30.6" customHeight="1" thickBot="1" x14ac:dyDescent="0.35">
      <c r="A8" s="1" t="s">
        <v>81</v>
      </c>
      <c r="B8" s="1" t="s">
        <v>16</v>
      </c>
      <c r="C8" s="1" t="s">
        <v>17</v>
      </c>
      <c r="D8" s="2">
        <v>30</v>
      </c>
      <c r="E8" s="2">
        <v>5</v>
      </c>
      <c r="F8" s="1" t="s">
        <v>5</v>
      </c>
    </row>
    <row r="9" spans="1:10" ht="30.6" customHeight="1" thickBot="1" x14ac:dyDescent="0.35">
      <c r="A9" s="3" t="s">
        <v>82</v>
      </c>
      <c r="B9" s="3" t="s">
        <v>18</v>
      </c>
      <c r="C9" s="3" t="s">
        <v>19</v>
      </c>
      <c r="D9" s="4">
        <v>90</v>
      </c>
      <c r="E9" s="4">
        <v>35</v>
      </c>
      <c r="F9" s="3" t="s">
        <v>8</v>
      </c>
    </row>
    <row r="10" spans="1:10" ht="30.6" customHeight="1" thickBot="1" x14ac:dyDescent="0.35">
      <c r="A10" s="1" t="s">
        <v>83</v>
      </c>
      <c r="B10" s="1" t="s">
        <v>20</v>
      </c>
      <c r="C10" s="1" t="s">
        <v>21</v>
      </c>
      <c r="D10" s="2">
        <v>500</v>
      </c>
      <c r="E10" s="2">
        <v>50</v>
      </c>
      <c r="F10" s="1" t="s">
        <v>2</v>
      </c>
    </row>
    <row r="11" spans="1:10" ht="30.6" customHeight="1" thickBot="1" x14ac:dyDescent="0.35">
      <c r="A11" s="3" t="s">
        <v>84</v>
      </c>
      <c r="B11" s="3" t="s">
        <v>22</v>
      </c>
      <c r="C11" s="3" t="s">
        <v>23</v>
      </c>
      <c r="D11" s="4">
        <v>130</v>
      </c>
      <c r="E11" s="4">
        <v>10</v>
      </c>
      <c r="F11" s="3" t="s">
        <v>24</v>
      </c>
    </row>
    <row r="12" spans="1:10" ht="30.6" customHeight="1" thickBot="1" x14ac:dyDescent="0.35">
      <c r="A12" s="1" t="s">
        <v>85</v>
      </c>
      <c r="B12" s="1" t="s">
        <v>25</v>
      </c>
      <c r="C12" s="1" t="s">
        <v>26</v>
      </c>
      <c r="D12" s="2">
        <v>950</v>
      </c>
      <c r="E12" s="2">
        <v>25</v>
      </c>
      <c r="F12" s="1" t="s">
        <v>2</v>
      </c>
    </row>
    <row r="13" spans="1:10" ht="30.6" customHeight="1" thickBot="1" x14ac:dyDescent="0.35">
      <c r="A13" s="3" t="s">
        <v>86</v>
      </c>
      <c r="B13" s="3" t="s">
        <v>3</v>
      </c>
      <c r="C13" s="3" t="s">
        <v>17</v>
      </c>
      <c r="D13" s="4">
        <v>90</v>
      </c>
      <c r="E13" s="4">
        <v>40</v>
      </c>
      <c r="F13" s="3"/>
    </row>
    <row r="14" spans="1:10" ht="30.6" customHeight="1" thickBot="1" x14ac:dyDescent="0.35">
      <c r="A14" s="1" t="s">
        <v>87</v>
      </c>
      <c r="B14" s="1" t="s">
        <v>6</v>
      </c>
      <c r="C14" s="1" t="s">
        <v>27</v>
      </c>
      <c r="D14" s="2">
        <v>120</v>
      </c>
      <c r="E14" s="2">
        <v>35</v>
      </c>
      <c r="F14" s="1"/>
    </row>
    <row r="15" spans="1:10" ht="30.6" customHeight="1" thickBot="1" x14ac:dyDescent="0.35">
      <c r="A15" s="3" t="s">
        <v>88</v>
      </c>
      <c r="B15" s="3" t="s">
        <v>28</v>
      </c>
      <c r="C15" s="3" t="s">
        <v>29</v>
      </c>
      <c r="D15" s="4">
        <v>150</v>
      </c>
      <c r="E15" s="4">
        <v>15</v>
      </c>
      <c r="F15" s="3" t="s">
        <v>15</v>
      </c>
    </row>
    <row r="16" spans="1:10" ht="30.6" customHeight="1" thickBot="1" x14ac:dyDescent="0.35">
      <c r="A16" s="1" t="s">
        <v>89</v>
      </c>
      <c r="B16" s="1" t="s">
        <v>30</v>
      </c>
      <c r="C16" s="1" t="s">
        <v>31</v>
      </c>
      <c r="D16" s="2">
        <v>250</v>
      </c>
      <c r="E16" s="2">
        <v>20</v>
      </c>
      <c r="F16" s="1" t="s">
        <v>15</v>
      </c>
    </row>
    <row r="17" spans="1:6" ht="30.6" customHeight="1" thickBot="1" x14ac:dyDescent="0.35">
      <c r="A17" s="3" t="s">
        <v>90</v>
      </c>
      <c r="B17" s="3" t="s">
        <v>32</v>
      </c>
      <c r="C17" s="3" t="s">
        <v>33</v>
      </c>
      <c r="D17" s="4">
        <v>50</v>
      </c>
      <c r="E17" s="4">
        <v>35</v>
      </c>
      <c r="F17" s="3" t="s">
        <v>34</v>
      </c>
    </row>
    <row r="18" spans="1:6" ht="30.6" customHeight="1" thickBot="1" x14ac:dyDescent="0.35">
      <c r="A18" s="1" t="s">
        <v>91</v>
      </c>
      <c r="B18" s="1" t="s">
        <v>28</v>
      </c>
      <c r="C18" s="1" t="s">
        <v>35</v>
      </c>
      <c r="D18" s="2">
        <v>160</v>
      </c>
      <c r="E18" s="2">
        <v>15</v>
      </c>
      <c r="F18" s="1" t="s">
        <v>15</v>
      </c>
    </row>
    <row r="19" spans="1:6" ht="30.6" customHeight="1" thickBot="1" x14ac:dyDescent="0.35">
      <c r="A19" s="3" t="s">
        <v>92</v>
      </c>
      <c r="B19" s="3" t="s">
        <v>0</v>
      </c>
      <c r="C19" s="3" t="s">
        <v>36</v>
      </c>
      <c r="D19" s="4">
        <v>980</v>
      </c>
      <c r="E19" s="4">
        <v>10</v>
      </c>
      <c r="F19" s="3" t="s">
        <v>2</v>
      </c>
    </row>
    <row r="20" spans="1:6" ht="30.6" customHeight="1" thickBot="1" x14ac:dyDescent="0.35">
      <c r="A20" s="1" t="s">
        <v>93</v>
      </c>
      <c r="B20" s="1" t="s">
        <v>37</v>
      </c>
      <c r="C20" s="1" t="s">
        <v>38</v>
      </c>
      <c r="D20" s="2">
        <v>150</v>
      </c>
      <c r="E20" s="2">
        <v>15</v>
      </c>
      <c r="F20" s="1" t="s">
        <v>5</v>
      </c>
    </row>
    <row r="21" spans="1:6" ht="30.6" customHeight="1" thickBot="1" x14ac:dyDescent="0.35">
      <c r="A21" s="3" t="s">
        <v>94</v>
      </c>
      <c r="B21" s="3" t="s">
        <v>39</v>
      </c>
      <c r="C21" s="3" t="s">
        <v>40</v>
      </c>
      <c r="D21" s="3"/>
      <c r="E21" s="4">
        <v>10</v>
      </c>
      <c r="F21" s="3" t="s">
        <v>24</v>
      </c>
    </row>
    <row r="22" spans="1:6" ht="30.6" customHeight="1" thickBot="1" x14ac:dyDescent="0.35">
      <c r="A22" s="1" t="s">
        <v>95</v>
      </c>
      <c r="B22" s="1" t="s">
        <v>41</v>
      </c>
      <c r="C22" s="1" t="s">
        <v>42</v>
      </c>
      <c r="D22" s="2">
        <v>700</v>
      </c>
      <c r="E22" s="2">
        <v>50</v>
      </c>
      <c r="F22" s="1" t="s">
        <v>2</v>
      </c>
    </row>
    <row r="23" spans="1:6" ht="30.6" customHeight="1" thickBot="1" x14ac:dyDescent="0.35">
      <c r="A23" s="3" t="s">
        <v>96</v>
      </c>
      <c r="B23" s="3" t="s">
        <v>43</v>
      </c>
      <c r="C23" s="3" t="s">
        <v>44</v>
      </c>
      <c r="D23" s="4">
        <v>80</v>
      </c>
      <c r="E23" s="4">
        <v>20</v>
      </c>
      <c r="F23" s="3" t="s">
        <v>8</v>
      </c>
    </row>
    <row r="24" spans="1:6" ht="30.6" customHeight="1" thickBot="1" x14ac:dyDescent="0.35">
      <c r="A24" s="1" t="s">
        <v>97</v>
      </c>
      <c r="B24" s="1" t="s">
        <v>45</v>
      </c>
      <c r="C24" s="1" t="s">
        <v>46</v>
      </c>
      <c r="D24" s="2">
        <v>150</v>
      </c>
      <c r="E24" s="2">
        <v>30</v>
      </c>
      <c r="F24" s="1"/>
    </row>
    <row r="25" spans="1:6" ht="30.6" customHeight="1" thickBot="1" x14ac:dyDescent="0.35">
      <c r="A25" s="1" t="s">
        <v>98</v>
      </c>
      <c r="B25" s="1" t="s">
        <v>47</v>
      </c>
      <c r="C25" s="1" t="s">
        <v>48</v>
      </c>
      <c r="D25" s="2">
        <v>800</v>
      </c>
      <c r="E25" s="2">
        <v>45</v>
      </c>
      <c r="F25" s="1" t="s">
        <v>2</v>
      </c>
    </row>
    <row r="26" spans="1:6" ht="30.6" customHeight="1" thickBot="1" x14ac:dyDescent="0.35">
      <c r="A26" s="3" t="s">
        <v>99</v>
      </c>
      <c r="B26" s="3" t="s">
        <v>37</v>
      </c>
      <c r="C26" s="3" t="s">
        <v>49</v>
      </c>
      <c r="D26" s="3"/>
      <c r="E26" s="4">
        <v>25</v>
      </c>
      <c r="F26" s="3" t="s">
        <v>5</v>
      </c>
    </row>
    <row r="27" spans="1:6" ht="30.6" customHeight="1" thickBot="1" x14ac:dyDescent="0.35">
      <c r="A27" s="1" t="s">
        <v>100</v>
      </c>
      <c r="B27" s="1" t="s">
        <v>18</v>
      </c>
      <c r="C27" s="1" t="s">
        <v>50</v>
      </c>
      <c r="D27" s="2">
        <v>400</v>
      </c>
      <c r="E27" s="2">
        <v>40</v>
      </c>
      <c r="F27" s="1" t="s">
        <v>8</v>
      </c>
    </row>
    <row r="28" spans="1:6" ht="30.6" customHeight="1" thickBot="1" x14ac:dyDescent="0.35">
      <c r="A28" s="1" t="s">
        <v>101</v>
      </c>
      <c r="B28" s="1" t="s">
        <v>51</v>
      </c>
      <c r="C28" s="1" t="s">
        <v>52</v>
      </c>
      <c r="D28" s="2">
        <v>60</v>
      </c>
      <c r="E28" s="2">
        <v>30</v>
      </c>
      <c r="F28" s="1" t="s">
        <v>5</v>
      </c>
    </row>
    <row r="29" spans="1:6" ht="30.6" customHeight="1" thickBot="1" x14ac:dyDescent="0.35">
      <c r="A29" s="3" t="s">
        <v>102</v>
      </c>
      <c r="B29" s="3" t="s">
        <v>53</v>
      </c>
      <c r="C29" s="3" t="s">
        <v>54</v>
      </c>
      <c r="D29" s="4">
        <v>40</v>
      </c>
      <c r="E29" s="4">
        <v>10</v>
      </c>
      <c r="F29" s="3" t="s">
        <v>8</v>
      </c>
    </row>
    <row r="30" spans="1:6" ht="30.6" customHeight="1" thickBot="1" x14ac:dyDescent="0.35">
      <c r="A30" s="1" t="s">
        <v>103</v>
      </c>
      <c r="B30" s="1" t="s">
        <v>45</v>
      </c>
      <c r="C30" s="1" t="s">
        <v>55</v>
      </c>
      <c r="D30" s="2">
        <v>130</v>
      </c>
      <c r="E30" s="2">
        <v>5</v>
      </c>
      <c r="F30" s="1" t="s">
        <v>2</v>
      </c>
    </row>
    <row r="31" spans="1:6" ht="30.6" customHeight="1" thickBot="1" x14ac:dyDescent="0.35">
      <c r="A31" s="3" t="s">
        <v>104</v>
      </c>
      <c r="B31" s="3" t="s">
        <v>56</v>
      </c>
      <c r="C31" s="3" t="s">
        <v>57</v>
      </c>
      <c r="D31" s="4">
        <v>50</v>
      </c>
      <c r="E31" s="4">
        <v>50</v>
      </c>
      <c r="F31" s="3" t="s">
        <v>5</v>
      </c>
    </row>
    <row r="32" spans="1:6" ht="30.6" customHeight="1" thickBot="1" x14ac:dyDescent="0.35">
      <c r="A32" s="1" t="s">
        <v>105</v>
      </c>
      <c r="B32" s="1" t="s">
        <v>25</v>
      </c>
      <c r="C32" s="1" t="s">
        <v>26</v>
      </c>
      <c r="D32" s="2">
        <v>950</v>
      </c>
      <c r="E32" s="2">
        <v>25</v>
      </c>
      <c r="F32" s="1" t="s">
        <v>2</v>
      </c>
    </row>
    <row r="33" spans="1:6" ht="30.6" customHeight="1" thickBot="1" x14ac:dyDescent="0.35">
      <c r="A33" s="3" t="s">
        <v>106</v>
      </c>
      <c r="B33" s="3" t="s">
        <v>58</v>
      </c>
      <c r="C33" s="3" t="s">
        <v>59</v>
      </c>
      <c r="D33" s="4">
        <v>100</v>
      </c>
      <c r="E33" s="4">
        <v>20</v>
      </c>
      <c r="F33" s="3" t="s">
        <v>34</v>
      </c>
    </row>
  </sheetData>
  <mergeCells count="1"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8340-D869-4A36-A545-CFF956390056}">
  <dimension ref="A1:M35"/>
  <sheetViews>
    <sheetView zoomScale="72" zoomScaleNormal="72" workbookViewId="0">
      <selection activeCell="J10" sqref="J10"/>
    </sheetView>
  </sheetViews>
  <sheetFormatPr defaultColWidth="23.109375" defaultRowHeight="39" customHeight="1" x14ac:dyDescent="0.25"/>
  <cols>
    <col min="1" max="2" width="23.109375" style="12"/>
    <col min="3" max="3" width="20" style="12" customWidth="1"/>
    <col min="4" max="4" width="15.88671875" style="12" customWidth="1"/>
    <col min="5" max="5" width="15.77734375" style="12" customWidth="1"/>
    <col min="6" max="6" width="19.109375" style="12" customWidth="1"/>
    <col min="7" max="7" width="23.109375" style="44"/>
    <col min="8" max="8" width="20.33203125" style="12" customWidth="1"/>
    <col min="9" max="9" width="27.33203125" style="12" customWidth="1"/>
    <col min="10" max="16384" width="23.109375" style="12"/>
  </cols>
  <sheetData>
    <row r="1" spans="1:13" ht="39" customHeight="1" x14ac:dyDescent="0.3">
      <c r="A1" s="23" t="s">
        <v>60</v>
      </c>
      <c r="B1" s="23" t="s">
        <v>61</v>
      </c>
      <c r="C1" s="23" t="s">
        <v>62</v>
      </c>
      <c r="D1" s="23" t="s">
        <v>63</v>
      </c>
      <c r="E1" s="23" t="s">
        <v>64</v>
      </c>
      <c r="F1" s="23" t="s">
        <v>65</v>
      </c>
      <c r="G1" s="43" t="s">
        <v>69</v>
      </c>
      <c r="H1" s="23" t="s">
        <v>68</v>
      </c>
      <c r="I1" s="23" t="s">
        <v>70</v>
      </c>
    </row>
    <row r="2" spans="1:13" ht="39" customHeight="1" x14ac:dyDescent="0.35">
      <c r="A2" s="24" t="s">
        <v>75</v>
      </c>
      <c r="B2" s="24" t="s">
        <v>0</v>
      </c>
      <c r="C2" s="24" t="s">
        <v>1</v>
      </c>
      <c r="D2" s="25">
        <v>1000</v>
      </c>
      <c r="E2" s="25">
        <v>30</v>
      </c>
      <c r="F2" s="24" t="s">
        <v>2</v>
      </c>
      <c r="G2" s="41" t="str">
        <f>LEFT(A2,11)</f>
        <v>28-JAN-2026</v>
      </c>
      <c r="H2" s="26" t="str">
        <f>RIGHT(A2,2)</f>
        <v>US</v>
      </c>
      <c r="I2" s="26" t="str">
        <f>_xlfn.CONCAT(B2," ",C2)</f>
        <v>laptop Dell</v>
      </c>
    </row>
    <row r="3" spans="1:13" ht="39" customHeight="1" x14ac:dyDescent="0.4">
      <c r="A3" s="27" t="s">
        <v>76</v>
      </c>
      <c r="B3" s="27" t="s">
        <v>3</v>
      </c>
      <c r="C3" s="27" t="s">
        <v>4</v>
      </c>
      <c r="D3" s="28">
        <v>80</v>
      </c>
      <c r="E3" s="28">
        <v>15</v>
      </c>
      <c r="F3" s="27" t="s">
        <v>5</v>
      </c>
      <c r="G3" s="42" t="str">
        <f>LEFT(A3,11)</f>
        <v>15-FEB-2026</v>
      </c>
      <c r="H3" s="29" t="str">
        <f t="shared" ref="H3:H35" si="0">RIGHT(A3,2)</f>
        <v>US</v>
      </c>
      <c r="I3" s="29" t="str">
        <f t="shared" ref="I3:I35" si="1">_xlfn.CONCAT(B3," ",C3)</f>
        <v>Sneakers Nike</v>
      </c>
      <c r="K3" s="31">
        <v>4</v>
      </c>
      <c r="L3" s="32" t="s">
        <v>108</v>
      </c>
      <c r="M3" s="32"/>
    </row>
    <row r="4" spans="1:13" ht="39" customHeight="1" x14ac:dyDescent="0.35">
      <c r="A4" s="24" t="s">
        <v>77</v>
      </c>
      <c r="B4" s="24" t="s">
        <v>6</v>
      </c>
      <c r="C4" s="24" t="s">
        <v>7</v>
      </c>
      <c r="D4" s="25">
        <v>130</v>
      </c>
      <c r="E4" s="25">
        <v>40</v>
      </c>
      <c r="F4" s="24" t="s">
        <v>8</v>
      </c>
      <c r="G4" s="41" t="str">
        <f>LEFT(A4,11)</f>
        <v>03-MAR-2026</v>
      </c>
      <c r="H4" s="26" t="str">
        <f t="shared" si="0"/>
        <v>US</v>
      </c>
      <c r="I4" s="26" t="str">
        <f t="shared" si="1"/>
        <v>Coffee Maker Keurig</v>
      </c>
    </row>
    <row r="5" spans="1:13" ht="39" customHeight="1" x14ac:dyDescent="0.35">
      <c r="A5" s="27" t="s">
        <v>78</v>
      </c>
      <c r="B5" s="27" t="s">
        <v>9</v>
      </c>
      <c r="C5" s="27" t="s">
        <v>10</v>
      </c>
      <c r="D5" s="28">
        <v>900</v>
      </c>
      <c r="E5" s="28">
        <v>25</v>
      </c>
      <c r="F5" s="27" t="s">
        <v>2</v>
      </c>
      <c r="G5" s="42" t="str">
        <f>LEFT(A5,11)</f>
        <v>11-APR-2026</v>
      </c>
      <c r="H5" s="29" t="str">
        <f t="shared" si="0"/>
        <v>US</v>
      </c>
      <c r="I5" s="29" t="str">
        <f t="shared" si="1"/>
        <v>smartphone Samsung</v>
      </c>
    </row>
    <row r="6" spans="1:13" ht="39" customHeight="1" x14ac:dyDescent="0.35">
      <c r="A6" s="24" t="s">
        <v>79</v>
      </c>
      <c r="B6" s="24" t="s">
        <v>11</v>
      </c>
      <c r="C6" s="24" t="s">
        <v>12</v>
      </c>
      <c r="D6" s="25">
        <v>70</v>
      </c>
      <c r="E6" s="25">
        <v>20</v>
      </c>
      <c r="F6" s="24"/>
      <c r="G6" s="41" t="str">
        <f>LEFT(A6,11)</f>
        <v>22-MAY-2026</v>
      </c>
      <c r="H6" s="26" t="str">
        <f t="shared" si="0"/>
        <v>US</v>
      </c>
      <c r="I6" s="26" t="str">
        <f t="shared" si="1"/>
        <v>Backpack North Face</v>
      </c>
    </row>
    <row r="7" spans="1:13" ht="39" customHeight="1" x14ac:dyDescent="0.35">
      <c r="A7" s="27" t="s">
        <v>80</v>
      </c>
      <c r="B7" s="27" t="s">
        <v>13</v>
      </c>
      <c r="C7" s="27" t="s">
        <v>14</v>
      </c>
      <c r="D7" s="27"/>
      <c r="E7" s="28">
        <v>45</v>
      </c>
      <c r="F7" s="27" t="s">
        <v>15</v>
      </c>
      <c r="G7" s="42" t="str">
        <f>LEFT(A7,11)</f>
        <v>07-JUN-2026</v>
      </c>
      <c r="H7" s="29" t="str">
        <f t="shared" si="0"/>
        <v>UK</v>
      </c>
      <c r="I7" s="29" t="str">
        <f t="shared" si="1"/>
        <v>Headphones Sony</v>
      </c>
    </row>
    <row r="8" spans="1:13" ht="39" customHeight="1" x14ac:dyDescent="0.35">
      <c r="A8" s="24" t="s">
        <v>81</v>
      </c>
      <c r="B8" s="24" t="s">
        <v>16</v>
      </c>
      <c r="C8" s="24" t="s">
        <v>17</v>
      </c>
      <c r="D8" s="25">
        <v>30</v>
      </c>
      <c r="E8" s="25">
        <v>5</v>
      </c>
      <c r="F8" s="24" t="s">
        <v>5</v>
      </c>
      <c r="G8" s="41" t="str">
        <f>LEFT(A8,11)</f>
        <v>19-JUL-2026</v>
      </c>
      <c r="H8" s="26" t="str">
        <f t="shared" si="0"/>
        <v>UK</v>
      </c>
      <c r="I8" s="26" t="str">
        <f t="shared" si="1"/>
        <v>T-shirt Adidas</v>
      </c>
    </row>
    <row r="9" spans="1:13" ht="39" customHeight="1" x14ac:dyDescent="0.35">
      <c r="A9" s="27" t="s">
        <v>82</v>
      </c>
      <c r="B9" s="27" t="s">
        <v>18</v>
      </c>
      <c r="C9" s="27" t="s">
        <v>19</v>
      </c>
      <c r="D9" s="28">
        <v>90</v>
      </c>
      <c r="E9" s="28">
        <v>35</v>
      </c>
      <c r="F9" s="27" t="s">
        <v>8</v>
      </c>
      <c r="G9" s="42" t="str">
        <f>LEFT(A9,11)</f>
        <v>23-AUG-2026</v>
      </c>
      <c r="H9" s="29" t="str">
        <f t="shared" si="0"/>
        <v>UK</v>
      </c>
      <c r="I9" s="29" t="str">
        <f t="shared" si="1"/>
        <v>Blender Ninja</v>
      </c>
    </row>
    <row r="10" spans="1:13" ht="39" customHeight="1" x14ac:dyDescent="0.35">
      <c r="A10" s="24" t="s">
        <v>83</v>
      </c>
      <c r="B10" s="24" t="s">
        <v>20</v>
      </c>
      <c r="C10" s="24" t="s">
        <v>21</v>
      </c>
      <c r="D10" s="25">
        <v>500</v>
      </c>
      <c r="E10" s="25">
        <v>50</v>
      </c>
      <c r="F10" s="24" t="s">
        <v>2</v>
      </c>
      <c r="G10" s="41" t="str">
        <f>LEFT(A10,11)</f>
        <v>05-SEP-2026</v>
      </c>
      <c r="H10" s="26" t="str">
        <f t="shared" si="0"/>
        <v>UK</v>
      </c>
      <c r="I10" s="26" t="str">
        <f t="shared" si="1"/>
        <v>Tablet Apple</v>
      </c>
    </row>
    <row r="11" spans="1:13" ht="39" customHeight="1" x14ac:dyDescent="0.35">
      <c r="A11" s="27" t="s">
        <v>84</v>
      </c>
      <c r="B11" s="27" t="s">
        <v>22</v>
      </c>
      <c r="C11" s="27" t="s">
        <v>23</v>
      </c>
      <c r="D11" s="28">
        <v>130</v>
      </c>
      <c r="E11" s="28">
        <v>10</v>
      </c>
      <c r="F11" s="27" t="s">
        <v>24</v>
      </c>
      <c r="G11" s="42" t="str">
        <f>LEFT(A11,11)</f>
        <v>14-OCT-2026</v>
      </c>
      <c r="H11" s="29" t="str">
        <f t="shared" si="0"/>
        <v>UK</v>
      </c>
      <c r="I11" s="29" t="str">
        <f t="shared" si="1"/>
        <v>Hiking Boots Timberland</v>
      </c>
    </row>
    <row r="12" spans="1:13" ht="39" customHeight="1" x14ac:dyDescent="0.35">
      <c r="A12" s="24" t="s">
        <v>85</v>
      </c>
      <c r="B12" s="24" t="s">
        <v>25</v>
      </c>
      <c r="C12" s="24" t="s">
        <v>26</v>
      </c>
      <c r="D12" s="25">
        <v>950</v>
      </c>
      <c r="E12" s="25">
        <v>25</v>
      </c>
      <c r="F12" s="24" t="s">
        <v>2</v>
      </c>
      <c r="G12" s="41" t="str">
        <f>LEFT(A12,11)</f>
        <v>17-JUN-2026</v>
      </c>
      <c r="H12" s="26" t="str">
        <f t="shared" si="0"/>
        <v>IN</v>
      </c>
      <c r="I12" s="26" t="str">
        <f t="shared" si="1"/>
        <v>Laptop HP</v>
      </c>
    </row>
    <row r="13" spans="1:13" ht="39" customHeight="1" x14ac:dyDescent="0.35">
      <c r="A13" s="27" t="s">
        <v>86</v>
      </c>
      <c r="B13" s="27" t="s">
        <v>3</v>
      </c>
      <c r="C13" s="27" t="s">
        <v>17</v>
      </c>
      <c r="D13" s="28">
        <v>90</v>
      </c>
      <c r="E13" s="28">
        <v>40</v>
      </c>
      <c r="F13" s="27"/>
      <c r="G13" s="42" t="str">
        <f>LEFT(A13,11)</f>
        <v>25-NOV-2026</v>
      </c>
      <c r="H13" s="29" t="str">
        <f t="shared" si="0"/>
        <v>AU</v>
      </c>
      <c r="I13" s="29" t="str">
        <f t="shared" si="1"/>
        <v>Sneakers Adidas</v>
      </c>
    </row>
    <row r="14" spans="1:13" ht="39" customHeight="1" x14ac:dyDescent="0.35">
      <c r="A14" s="24" t="s">
        <v>87</v>
      </c>
      <c r="B14" s="24" t="s">
        <v>6</v>
      </c>
      <c r="C14" s="24" t="s">
        <v>27</v>
      </c>
      <c r="D14" s="25">
        <v>120</v>
      </c>
      <c r="E14" s="25">
        <v>35</v>
      </c>
      <c r="F14" s="24"/>
      <c r="G14" s="41" t="str">
        <f>LEFT(A14,11)</f>
        <v>08-DEC-2026</v>
      </c>
      <c r="H14" s="26" t="str">
        <f t="shared" si="0"/>
        <v>DE</v>
      </c>
      <c r="I14" s="26" t="str">
        <f t="shared" si="1"/>
        <v>Coffee Maker Nespresso</v>
      </c>
    </row>
    <row r="15" spans="1:13" ht="39" customHeight="1" x14ac:dyDescent="0.35">
      <c r="A15" s="27" t="s">
        <v>88</v>
      </c>
      <c r="B15" s="27" t="s">
        <v>28</v>
      </c>
      <c r="C15" s="27" t="s">
        <v>29</v>
      </c>
      <c r="D15" s="28">
        <v>150</v>
      </c>
      <c r="E15" s="28">
        <v>15</v>
      </c>
      <c r="F15" s="27" t="s">
        <v>15</v>
      </c>
      <c r="G15" s="42" t="str">
        <f>LEFT(A15,11)</f>
        <v>18-FEB-2026</v>
      </c>
      <c r="H15" s="29" t="str">
        <f t="shared" si="0"/>
        <v>CA</v>
      </c>
      <c r="I15" s="29" t="str">
        <f t="shared" si="1"/>
        <v>Smartwatch Fitbit</v>
      </c>
    </row>
    <row r="16" spans="1:13" ht="39" customHeight="1" x14ac:dyDescent="0.35">
      <c r="A16" s="24" t="s">
        <v>89</v>
      </c>
      <c r="B16" s="24" t="s">
        <v>30</v>
      </c>
      <c r="C16" s="24" t="s">
        <v>31</v>
      </c>
      <c r="D16" s="25">
        <v>250</v>
      </c>
      <c r="E16" s="25">
        <v>20</v>
      </c>
      <c r="F16" s="24" t="s">
        <v>15</v>
      </c>
      <c r="G16" s="41" t="str">
        <f>LEFT(A16,11)</f>
        <v>16-APR-2026</v>
      </c>
      <c r="H16" s="26" t="str">
        <f t="shared" si="0"/>
        <v>ES</v>
      </c>
      <c r="I16" s="26" t="str">
        <f t="shared" si="1"/>
        <v>headphones Bose</v>
      </c>
    </row>
    <row r="17" spans="1:9" ht="39" customHeight="1" x14ac:dyDescent="0.35">
      <c r="A17" s="27" t="s">
        <v>90</v>
      </c>
      <c r="B17" s="27" t="s">
        <v>32</v>
      </c>
      <c r="C17" s="27" t="s">
        <v>33</v>
      </c>
      <c r="D17" s="28">
        <v>50</v>
      </c>
      <c r="E17" s="28">
        <v>35</v>
      </c>
      <c r="F17" s="27" t="s">
        <v>34</v>
      </c>
      <c r="G17" s="42" t="str">
        <f>LEFT(A17,11)</f>
        <v>21-AUG-2026</v>
      </c>
      <c r="H17" s="29" t="str">
        <f t="shared" si="0"/>
        <v>CA</v>
      </c>
      <c r="I17" s="29" t="str">
        <f t="shared" si="1"/>
        <v>Laptop Bag Samsonite</v>
      </c>
    </row>
    <row r="18" spans="1:9" ht="39" customHeight="1" x14ac:dyDescent="0.35">
      <c r="A18" s="24" t="s">
        <v>91</v>
      </c>
      <c r="B18" s="24" t="s">
        <v>28</v>
      </c>
      <c r="C18" s="24" t="s">
        <v>35</v>
      </c>
      <c r="D18" s="25">
        <v>160</v>
      </c>
      <c r="E18" s="25">
        <v>15</v>
      </c>
      <c r="F18" s="24" t="s">
        <v>15</v>
      </c>
      <c r="G18" s="41" t="str">
        <f>LEFT(A18,11)</f>
        <v>20-AUG-2026</v>
      </c>
      <c r="H18" s="26" t="str">
        <f t="shared" si="0"/>
        <v>CN</v>
      </c>
      <c r="I18" s="26" t="str">
        <f t="shared" si="1"/>
        <v>Smartwatch Huawei</v>
      </c>
    </row>
    <row r="19" spans="1:9" ht="39" customHeight="1" x14ac:dyDescent="0.35">
      <c r="A19" s="27" t="s">
        <v>92</v>
      </c>
      <c r="B19" s="27" t="s">
        <v>0</v>
      </c>
      <c r="C19" s="27" t="s">
        <v>36</v>
      </c>
      <c r="D19" s="28">
        <v>980</v>
      </c>
      <c r="E19" s="28">
        <v>10</v>
      </c>
      <c r="F19" s="27" t="s">
        <v>2</v>
      </c>
      <c r="G19" s="42" t="str">
        <f>LEFT(A19,11)</f>
        <v>27-JAN-2026</v>
      </c>
      <c r="H19" s="29" t="str">
        <f t="shared" si="0"/>
        <v>IT</v>
      </c>
      <c r="I19" s="29" t="str">
        <f t="shared" si="1"/>
        <v>laptop Asus</v>
      </c>
    </row>
    <row r="20" spans="1:9" ht="39" customHeight="1" x14ac:dyDescent="0.35">
      <c r="A20" s="24" t="s">
        <v>93</v>
      </c>
      <c r="B20" s="24" t="s">
        <v>37</v>
      </c>
      <c r="C20" s="24" t="s">
        <v>38</v>
      </c>
      <c r="D20" s="25">
        <v>150</v>
      </c>
      <c r="E20" s="25">
        <v>15</v>
      </c>
      <c r="F20" s="24" t="s">
        <v>5</v>
      </c>
      <c r="G20" s="41" t="str">
        <f>LEFT(A20,11)</f>
        <v>01-MAR-2026</v>
      </c>
      <c r="H20" s="26" t="str">
        <f t="shared" si="0"/>
        <v>UK</v>
      </c>
      <c r="I20" s="26" t="str">
        <f t="shared" si="1"/>
        <v>Sunglasses Oakley</v>
      </c>
    </row>
    <row r="21" spans="1:9" ht="39" customHeight="1" x14ac:dyDescent="0.35">
      <c r="A21" s="27" t="s">
        <v>94</v>
      </c>
      <c r="B21" s="27" t="s">
        <v>39</v>
      </c>
      <c r="C21" s="27" t="s">
        <v>40</v>
      </c>
      <c r="D21" s="27"/>
      <c r="E21" s="28">
        <v>10</v>
      </c>
      <c r="F21" s="27" t="s">
        <v>24</v>
      </c>
      <c r="G21" s="42" t="str">
        <f>LEFT(A21,11)</f>
        <v>14-AUG-2026</v>
      </c>
      <c r="H21" s="29" t="str">
        <f t="shared" si="0"/>
        <v>US</v>
      </c>
      <c r="I21" s="29" t="str">
        <f t="shared" si="1"/>
        <v>Camping Tent Coleman</v>
      </c>
    </row>
    <row r="22" spans="1:9" ht="39" customHeight="1" x14ac:dyDescent="0.35">
      <c r="A22" s="24" t="s">
        <v>95</v>
      </c>
      <c r="B22" s="24" t="s">
        <v>41</v>
      </c>
      <c r="C22" s="24" t="s">
        <v>42</v>
      </c>
      <c r="D22" s="25">
        <v>700</v>
      </c>
      <c r="E22" s="25">
        <v>50</v>
      </c>
      <c r="F22" s="24" t="s">
        <v>2</v>
      </c>
      <c r="G22" s="41" t="str">
        <f>LEFT(A22,11)</f>
        <v>14-MAY-2026</v>
      </c>
      <c r="H22" s="26" t="str">
        <f t="shared" si="0"/>
        <v>RU</v>
      </c>
      <c r="I22" s="26" t="str">
        <f t="shared" si="1"/>
        <v>Camera Nikon</v>
      </c>
    </row>
    <row r="23" spans="1:9" ht="39" customHeight="1" x14ac:dyDescent="0.35">
      <c r="A23" s="27" t="s">
        <v>96</v>
      </c>
      <c r="B23" s="27" t="s">
        <v>43</v>
      </c>
      <c r="C23" s="27" t="s">
        <v>44</v>
      </c>
      <c r="D23" s="28">
        <v>80</v>
      </c>
      <c r="E23" s="28">
        <v>20</v>
      </c>
      <c r="F23" s="27" t="s">
        <v>8</v>
      </c>
      <c r="G23" s="42" t="str">
        <f>LEFT(A23,11)</f>
        <v>09-JAN-2026</v>
      </c>
      <c r="H23" s="29" t="str">
        <f t="shared" si="0"/>
        <v>CA</v>
      </c>
      <c r="I23" s="29" t="str">
        <f t="shared" si="1"/>
        <v>Microwave Panasonic</v>
      </c>
    </row>
    <row r="24" spans="1:9" ht="39" customHeight="1" x14ac:dyDescent="0.35">
      <c r="A24" s="24" t="s">
        <v>97</v>
      </c>
      <c r="B24" s="24" t="s">
        <v>45</v>
      </c>
      <c r="C24" s="24" t="s">
        <v>46</v>
      </c>
      <c r="D24" s="25">
        <v>150</v>
      </c>
      <c r="E24" s="25">
        <v>30</v>
      </c>
      <c r="F24" s="24"/>
      <c r="G24" s="41" t="str">
        <f>LEFT(A24,11)</f>
        <v>19-JUL-2026</v>
      </c>
      <c r="H24" s="26" t="str">
        <f t="shared" si="0"/>
        <v>BR</v>
      </c>
      <c r="I24" s="26" t="str">
        <f t="shared" si="1"/>
        <v>Fitness Tracker Xiaomi</v>
      </c>
    </row>
    <row r="25" spans="1:9" ht="39" customHeight="1" x14ac:dyDescent="0.35">
      <c r="A25" s="27" t="s">
        <v>90</v>
      </c>
      <c r="B25" s="27" t="s">
        <v>32</v>
      </c>
      <c r="C25" s="27" t="s">
        <v>33</v>
      </c>
      <c r="D25" s="28">
        <v>50</v>
      </c>
      <c r="E25" s="28">
        <v>35</v>
      </c>
      <c r="F25" s="27" t="s">
        <v>34</v>
      </c>
      <c r="G25" s="42" t="str">
        <f>LEFT(A25,11)</f>
        <v>21-AUG-2026</v>
      </c>
      <c r="H25" s="29" t="str">
        <f t="shared" si="0"/>
        <v>CA</v>
      </c>
      <c r="I25" s="29" t="str">
        <f t="shared" si="1"/>
        <v>Laptop Bag Samsonite</v>
      </c>
    </row>
    <row r="26" spans="1:9" ht="39" customHeight="1" x14ac:dyDescent="0.35">
      <c r="A26" s="24" t="s">
        <v>98</v>
      </c>
      <c r="B26" s="24" t="s">
        <v>47</v>
      </c>
      <c r="C26" s="24" t="s">
        <v>48</v>
      </c>
      <c r="D26" s="25">
        <v>800</v>
      </c>
      <c r="E26" s="25">
        <v>45</v>
      </c>
      <c r="F26" s="24" t="s">
        <v>2</v>
      </c>
      <c r="G26" s="41" t="str">
        <f>LEFT(A26,11)</f>
        <v>29-SEP-2026</v>
      </c>
      <c r="H26" s="26" t="str">
        <f t="shared" si="0"/>
        <v>CA</v>
      </c>
      <c r="I26" s="26" t="str">
        <f t="shared" si="1"/>
        <v>Smartphone Google</v>
      </c>
    </row>
    <row r="27" spans="1:9" ht="39" customHeight="1" x14ac:dyDescent="0.35">
      <c r="A27" s="27" t="s">
        <v>99</v>
      </c>
      <c r="B27" s="27" t="s">
        <v>37</v>
      </c>
      <c r="C27" s="27" t="s">
        <v>49</v>
      </c>
      <c r="D27" s="27"/>
      <c r="E27" s="28">
        <v>25</v>
      </c>
      <c r="F27" s="27" t="s">
        <v>5</v>
      </c>
      <c r="G27" s="42" t="str">
        <f>LEFT(A27,11)</f>
        <v>03-JUN-2026</v>
      </c>
      <c r="H27" s="29" t="str">
        <f t="shared" si="0"/>
        <v>CA</v>
      </c>
      <c r="I27" s="29" t="str">
        <f t="shared" si="1"/>
        <v>Sunglasses Ray-Ban</v>
      </c>
    </row>
    <row r="28" spans="1:9" ht="39" customHeight="1" x14ac:dyDescent="0.35">
      <c r="A28" s="24" t="s">
        <v>100</v>
      </c>
      <c r="B28" s="24" t="s">
        <v>18</v>
      </c>
      <c r="C28" s="24" t="s">
        <v>50</v>
      </c>
      <c r="D28" s="25">
        <v>400</v>
      </c>
      <c r="E28" s="25">
        <v>40</v>
      </c>
      <c r="F28" s="24" t="s">
        <v>8</v>
      </c>
      <c r="G28" s="41" t="str">
        <f>LEFT(A28,11)</f>
        <v>11-JUL-2026</v>
      </c>
      <c r="H28" s="26" t="str">
        <f t="shared" si="0"/>
        <v>CA</v>
      </c>
      <c r="I28" s="26" t="str">
        <f t="shared" si="1"/>
        <v>Blender Vitamix</v>
      </c>
    </row>
    <row r="29" spans="1:9" ht="39" customHeight="1" x14ac:dyDescent="0.35">
      <c r="A29" s="27" t="s">
        <v>89</v>
      </c>
      <c r="B29" s="27" t="s">
        <v>30</v>
      </c>
      <c r="C29" s="27" t="s">
        <v>31</v>
      </c>
      <c r="D29" s="28">
        <v>250</v>
      </c>
      <c r="E29" s="28">
        <v>20</v>
      </c>
      <c r="F29" s="27" t="s">
        <v>15</v>
      </c>
      <c r="G29" s="42" t="str">
        <f>LEFT(A29,11)</f>
        <v>16-APR-2026</v>
      </c>
      <c r="H29" s="29" t="str">
        <f t="shared" si="0"/>
        <v>ES</v>
      </c>
      <c r="I29" s="29" t="str">
        <f t="shared" si="1"/>
        <v>headphones Bose</v>
      </c>
    </row>
    <row r="30" spans="1:9" ht="39" customHeight="1" x14ac:dyDescent="0.35">
      <c r="A30" s="24" t="s">
        <v>101</v>
      </c>
      <c r="B30" s="24" t="s">
        <v>51</v>
      </c>
      <c r="C30" s="24" t="s">
        <v>52</v>
      </c>
      <c r="D30" s="25">
        <v>60</v>
      </c>
      <c r="E30" s="25">
        <v>30</v>
      </c>
      <c r="F30" s="24" t="s">
        <v>5</v>
      </c>
      <c r="G30" s="41" t="str">
        <f>LEFT(A30,11)</f>
        <v>07-MAR-2026</v>
      </c>
      <c r="H30" s="26" t="str">
        <f t="shared" si="0"/>
        <v>CA</v>
      </c>
      <c r="I30" s="26" t="str">
        <f t="shared" si="1"/>
        <v>Dress Zara</v>
      </c>
    </row>
    <row r="31" spans="1:9" ht="39" customHeight="1" x14ac:dyDescent="0.35">
      <c r="A31" s="27" t="s">
        <v>102</v>
      </c>
      <c r="B31" s="27" t="s">
        <v>53</v>
      </c>
      <c r="C31" s="27" t="s">
        <v>54</v>
      </c>
      <c r="D31" s="28">
        <v>40</v>
      </c>
      <c r="E31" s="28">
        <v>10</v>
      </c>
      <c r="F31" s="27" t="s">
        <v>8</v>
      </c>
      <c r="G31" s="42" t="str">
        <f>LEFT(A31,11)</f>
        <v>13-APR-2026</v>
      </c>
      <c r="H31" s="29" t="str">
        <f t="shared" si="0"/>
        <v>CA</v>
      </c>
      <c r="I31" s="29" t="str">
        <f t="shared" si="1"/>
        <v>Toaster Hamilton</v>
      </c>
    </row>
    <row r="32" spans="1:9" ht="39" customHeight="1" x14ac:dyDescent="0.35">
      <c r="A32" s="24" t="s">
        <v>103</v>
      </c>
      <c r="B32" s="24" t="s">
        <v>45</v>
      </c>
      <c r="C32" s="24" t="s">
        <v>55</v>
      </c>
      <c r="D32" s="25">
        <v>130</v>
      </c>
      <c r="E32" s="25">
        <v>5</v>
      </c>
      <c r="F32" s="24" t="s">
        <v>2</v>
      </c>
      <c r="G32" s="41" t="str">
        <f>LEFT(A32,11)</f>
        <v>24-MAY-2026</v>
      </c>
      <c r="H32" s="26" t="str">
        <f t="shared" si="0"/>
        <v>CA</v>
      </c>
      <c r="I32" s="26" t="str">
        <f t="shared" si="1"/>
        <v>Fitness Tracker Garmin</v>
      </c>
    </row>
    <row r="33" spans="1:9" ht="39" customHeight="1" x14ac:dyDescent="0.35">
      <c r="A33" s="27" t="s">
        <v>104</v>
      </c>
      <c r="B33" s="27" t="s">
        <v>56</v>
      </c>
      <c r="C33" s="27" t="s">
        <v>57</v>
      </c>
      <c r="D33" s="28">
        <v>50</v>
      </c>
      <c r="E33" s="28">
        <v>50</v>
      </c>
      <c r="F33" s="27" t="s">
        <v>5</v>
      </c>
      <c r="G33" s="42" t="str">
        <f>LEFT(A33,11)</f>
        <v>02-DEC-2026</v>
      </c>
      <c r="H33" s="29" t="str">
        <f t="shared" si="0"/>
        <v>CA</v>
      </c>
      <c r="I33" s="29" t="str">
        <f t="shared" si="1"/>
        <v>Jeans Levi's</v>
      </c>
    </row>
    <row r="34" spans="1:9" ht="39" customHeight="1" x14ac:dyDescent="0.35">
      <c r="A34" s="24" t="s">
        <v>105</v>
      </c>
      <c r="B34" s="24" t="s">
        <v>25</v>
      </c>
      <c r="C34" s="24" t="s">
        <v>26</v>
      </c>
      <c r="D34" s="25">
        <v>950</v>
      </c>
      <c r="E34" s="25">
        <v>25</v>
      </c>
      <c r="F34" s="24" t="s">
        <v>2</v>
      </c>
      <c r="G34" s="41" t="str">
        <f>LEFT(A34,11)</f>
        <v>17-JUN-2026</v>
      </c>
      <c r="H34" s="26" t="str">
        <f t="shared" si="0"/>
        <v>IN</v>
      </c>
      <c r="I34" s="26" t="str">
        <f t="shared" si="1"/>
        <v>Laptop HP</v>
      </c>
    </row>
    <row r="35" spans="1:9" ht="39" customHeight="1" x14ac:dyDescent="0.35">
      <c r="A35" s="27" t="s">
        <v>106</v>
      </c>
      <c r="B35" s="27" t="s">
        <v>58</v>
      </c>
      <c r="C35" s="27" t="s">
        <v>59</v>
      </c>
      <c r="D35" s="28">
        <v>100</v>
      </c>
      <c r="E35" s="28">
        <v>20</v>
      </c>
      <c r="F35" s="27" t="s">
        <v>34</v>
      </c>
      <c r="G35" s="42" t="str">
        <f>LEFT(A35,11)</f>
        <v>09-JUL-2026</v>
      </c>
      <c r="H35" s="29" t="str">
        <f t="shared" si="0"/>
        <v>FR</v>
      </c>
      <c r="I35" s="29" t="str">
        <f t="shared" si="1"/>
        <v>Watch Casio</v>
      </c>
    </row>
  </sheetData>
  <mergeCells count="1"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F6A6-A6AA-4605-9A0F-57AB31CE3AFB}">
  <dimension ref="A1:M36"/>
  <sheetViews>
    <sheetView workbookViewId="0">
      <selection activeCell="L7" sqref="L7"/>
    </sheetView>
  </sheetViews>
  <sheetFormatPr defaultColWidth="13.44140625" defaultRowHeight="33" customHeight="1" x14ac:dyDescent="0.3"/>
  <cols>
    <col min="1" max="1" width="16.33203125" style="18" customWidth="1"/>
    <col min="2" max="3" width="13.44140625" style="18"/>
    <col min="4" max="4" width="13.44140625" style="40"/>
    <col min="5" max="6" width="13.44140625" style="18"/>
    <col min="7" max="7" width="14.88671875" style="48" customWidth="1"/>
    <col min="8" max="8" width="13.44140625" style="18"/>
    <col min="9" max="9" width="26" style="18" customWidth="1"/>
    <col min="10" max="16384" width="13.44140625" style="18"/>
  </cols>
  <sheetData>
    <row r="1" spans="1:13" ht="33" customHeight="1" x14ac:dyDescent="0.3">
      <c r="A1" s="33" t="s">
        <v>60</v>
      </c>
      <c r="B1" s="33" t="s">
        <v>61</v>
      </c>
      <c r="C1" s="33" t="s">
        <v>62</v>
      </c>
      <c r="D1" s="33" t="s">
        <v>63</v>
      </c>
      <c r="E1" s="33" t="s">
        <v>64</v>
      </c>
      <c r="F1" s="33" t="s">
        <v>65</v>
      </c>
      <c r="G1" s="45" t="s">
        <v>69</v>
      </c>
      <c r="H1" s="33" t="s">
        <v>68</v>
      </c>
      <c r="I1" s="33" t="s">
        <v>70</v>
      </c>
    </row>
    <row r="2" spans="1:13" ht="33" customHeight="1" x14ac:dyDescent="0.35">
      <c r="A2" s="34" t="s">
        <v>75</v>
      </c>
      <c r="B2" s="34" t="s">
        <v>0</v>
      </c>
      <c r="C2" s="34" t="s">
        <v>1</v>
      </c>
      <c r="D2" s="35">
        <v>1000</v>
      </c>
      <c r="E2" s="35">
        <v>30</v>
      </c>
      <c r="F2" s="34" t="s">
        <v>2</v>
      </c>
      <c r="G2" s="46">
        <f>DATEVALUE(LEFT(A2,11))</f>
        <v>46050</v>
      </c>
      <c r="H2" s="36" t="str">
        <f>RIGHT(A2,2)</f>
        <v>US</v>
      </c>
      <c r="I2" s="36" t="str">
        <f>_xlfn.CONCAT(B2," ",C2)</f>
        <v>laptop Dell</v>
      </c>
      <c r="K2" s="13">
        <v>5</v>
      </c>
      <c r="L2" s="14" t="s">
        <v>109</v>
      </c>
      <c r="M2" s="14"/>
    </row>
    <row r="3" spans="1:13" ht="33" customHeight="1" x14ac:dyDescent="0.3">
      <c r="A3" s="37" t="s">
        <v>76</v>
      </c>
      <c r="B3" s="37" t="s">
        <v>3</v>
      </c>
      <c r="C3" s="37" t="s">
        <v>4</v>
      </c>
      <c r="D3" s="38">
        <v>80</v>
      </c>
      <c r="E3" s="38">
        <v>15</v>
      </c>
      <c r="F3" s="37" t="s">
        <v>5</v>
      </c>
      <c r="G3" s="47">
        <f t="shared" ref="G3:G35" si="0">DATEVALUE(LEFT(A3,11))</f>
        <v>46068</v>
      </c>
      <c r="H3" s="39" t="str">
        <f t="shared" ref="H3:H35" si="1">RIGHT(A3,2)</f>
        <v>US</v>
      </c>
      <c r="I3" s="39" t="str">
        <f t="shared" ref="I3:I35" si="2">_xlfn.CONCAT(B3," ",C3)</f>
        <v>Sneakers Nike</v>
      </c>
    </row>
    <row r="4" spans="1:13" ht="33" customHeight="1" x14ac:dyDescent="0.3">
      <c r="A4" s="34" t="s">
        <v>77</v>
      </c>
      <c r="B4" s="34" t="s">
        <v>6</v>
      </c>
      <c r="C4" s="34" t="s">
        <v>7</v>
      </c>
      <c r="D4" s="35">
        <v>130</v>
      </c>
      <c r="E4" s="35">
        <v>40</v>
      </c>
      <c r="F4" s="34" t="s">
        <v>8</v>
      </c>
      <c r="G4" s="46">
        <f t="shared" si="0"/>
        <v>46084</v>
      </c>
      <c r="H4" s="36" t="str">
        <f t="shared" si="1"/>
        <v>US</v>
      </c>
      <c r="I4" s="36" t="str">
        <f t="shared" si="2"/>
        <v>Coffee Maker Keurig</v>
      </c>
    </row>
    <row r="5" spans="1:13" ht="33" customHeight="1" x14ac:dyDescent="0.3">
      <c r="A5" s="37" t="s">
        <v>78</v>
      </c>
      <c r="B5" s="37" t="s">
        <v>9</v>
      </c>
      <c r="C5" s="37" t="s">
        <v>10</v>
      </c>
      <c r="D5" s="38">
        <v>900</v>
      </c>
      <c r="E5" s="38">
        <v>25</v>
      </c>
      <c r="F5" s="37" t="s">
        <v>2</v>
      </c>
      <c r="G5" s="47">
        <f t="shared" si="0"/>
        <v>46123</v>
      </c>
      <c r="H5" s="39" t="str">
        <f t="shared" si="1"/>
        <v>US</v>
      </c>
      <c r="I5" s="39" t="str">
        <f t="shared" si="2"/>
        <v>smartphone Samsung</v>
      </c>
    </row>
    <row r="6" spans="1:13" ht="33" customHeight="1" x14ac:dyDescent="0.3">
      <c r="A6" s="34" t="s">
        <v>79</v>
      </c>
      <c r="B6" s="34" t="s">
        <v>11</v>
      </c>
      <c r="C6" s="34" t="s">
        <v>12</v>
      </c>
      <c r="D6" s="35">
        <v>70</v>
      </c>
      <c r="E6" s="35">
        <v>20</v>
      </c>
      <c r="F6" s="34"/>
      <c r="G6" s="46">
        <f t="shared" si="0"/>
        <v>46164</v>
      </c>
      <c r="H6" s="36" t="str">
        <f t="shared" si="1"/>
        <v>US</v>
      </c>
      <c r="I6" s="36" t="str">
        <f t="shared" si="2"/>
        <v>Backpack North Face</v>
      </c>
    </row>
    <row r="7" spans="1:13" ht="33" customHeight="1" x14ac:dyDescent="0.3">
      <c r="A7" s="37" t="s">
        <v>80</v>
      </c>
      <c r="B7" s="37" t="s">
        <v>13</v>
      </c>
      <c r="C7" s="37" t="s">
        <v>14</v>
      </c>
      <c r="D7" s="37"/>
      <c r="E7" s="38">
        <v>45</v>
      </c>
      <c r="F7" s="37" t="s">
        <v>15</v>
      </c>
      <c r="G7" s="47">
        <f t="shared" si="0"/>
        <v>46180</v>
      </c>
      <c r="H7" s="39" t="str">
        <f t="shared" si="1"/>
        <v>UK</v>
      </c>
      <c r="I7" s="39" t="str">
        <f t="shared" si="2"/>
        <v>Headphones Sony</v>
      </c>
    </row>
    <row r="8" spans="1:13" ht="33" customHeight="1" x14ac:dyDescent="0.3">
      <c r="A8" s="34" t="s">
        <v>81</v>
      </c>
      <c r="B8" s="34" t="s">
        <v>16</v>
      </c>
      <c r="C8" s="34" t="s">
        <v>17</v>
      </c>
      <c r="D8" s="35">
        <v>30</v>
      </c>
      <c r="E8" s="35">
        <v>5</v>
      </c>
      <c r="F8" s="34" t="s">
        <v>5</v>
      </c>
      <c r="G8" s="46">
        <f t="shared" si="0"/>
        <v>46222</v>
      </c>
      <c r="H8" s="36" t="str">
        <f t="shared" si="1"/>
        <v>UK</v>
      </c>
      <c r="I8" s="36" t="str">
        <f t="shared" si="2"/>
        <v>T-shirt Adidas</v>
      </c>
    </row>
    <row r="9" spans="1:13" ht="33" customHeight="1" x14ac:dyDescent="0.3">
      <c r="A9" s="37" t="s">
        <v>82</v>
      </c>
      <c r="B9" s="37" t="s">
        <v>18</v>
      </c>
      <c r="C9" s="37" t="s">
        <v>19</v>
      </c>
      <c r="D9" s="38">
        <v>90</v>
      </c>
      <c r="E9" s="38">
        <v>35</v>
      </c>
      <c r="F9" s="37" t="s">
        <v>8</v>
      </c>
      <c r="G9" s="47">
        <f t="shared" si="0"/>
        <v>46257</v>
      </c>
      <c r="H9" s="39" t="str">
        <f t="shared" si="1"/>
        <v>UK</v>
      </c>
      <c r="I9" s="39" t="str">
        <f t="shared" si="2"/>
        <v>Blender Ninja</v>
      </c>
    </row>
    <row r="10" spans="1:13" ht="33" customHeight="1" x14ac:dyDescent="0.3">
      <c r="A10" s="34" t="s">
        <v>83</v>
      </c>
      <c r="B10" s="34" t="s">
        <v>20</v>
      </c>
      <c r="C10" s="34" t="s">
        <v>21</v>
      </c>
      <c r="D10" s="35">
        <v>500</v>
      </c>
      <c r="E10" s="35">
        <v>50</v>
      </c>
      <c r="F10" s="34" t="s">
        <v>2</v>
      </c>
      <c r="G10" s="46">
        <f t="shared" si="0"/>
        <v>46270</v>
      </c>
      <c r="H10" s="36" t="str">
        <f t="shared" si="1"/>
        <v>UK</v>
      </c>
      <c r="I10" s="36" t="str">
        <f t="shared" si="2"/>
        <v>Tablet Apple</v>
      </c>
    </row>
    <row r="11" spans="1:13" ht="33" customHeight="1" x14ac:dyDescent="0.3">
      <c r="A11" s="37" t="s">
        <v>84</v>
      </c>
      <c r="B11" s="37" t="s">
        <v>22</v>
      </c>
      <c r="C11" s="37" t="s">
        <v>23</v>
      </c>
      <c r="D11" s="38">
        <v>130</v>
      </c>
      <c r="E11" s="38">
        <v>10</v>
      </c>
      <c r="F11" s="37" t="s">
        <v>24</v>
      </c>
      <c r="G11" s="47">
        <f t="shared" si="0"/>
        <v>46309</v>
      </c>
      <c r="H11" s="39" t="str">
        <f t="shared" si="1"/>
        <v>UK</v>
      </c>
      <c r="I11" s="39" t="str">
        <f t="shared" si="2"/>
        <v>Hiking Boots Timberland</v>
      </c>
    </row>
    <row r="12" spans="1:13" ht="33" customHeight="1" x14ac:dyDescent="0.3">
      <c r="A12" s="34" t="s">
        <v>85</v>
      </c>
      <c r="B12" s="34" t="s">
        <v>25</v>
      </c>
      <c r="C12" s="34" t="s">
        <v>26</v>
      </c>
      <c r="D12" s="35">
        <v>950</v>
      </c>
      <c r="E12" s="35">
        <v>25</v>
      </c>
      <c r="F12" s="34" t="s">
        <v>2</v>
      </c>
      <c r="G12" s="46">
        <f t="shared" si="0"/>
        <v>46190</v>
      </c>
      <c r="H12" s="36" t="str">
        <f t="shared" si="1"/>
        <v>IN</v>
      </c>
      <c r="I12" s="36" t="str">
        <f t="shared" si="2"/>
        <v>Laptop HP</v>
      </c>
    </row>
    <row r="13" spans="1:13" ht="33" customHeight="1" x14ac:dyDescent="0.3">
      <c r="A13" s="37" t="s">
        <v>86</v>
      </c>
      <c r="B13" s="37" t="s">
        <v>3</v>
      </c>
      <c r="C13" s="37" t="s">
        <v>17</v>
      </c>
      <c r="D13" s="38">
        <v>90</v>
      </c>
      <c r="E13" s="38">
        <v>40</v>
      </c>
      <c r="F13" s="37"/>
      <c r="G13" s="47">
        <f t="shared" si="0"/>
        <v>46351</v>
      </c>
      <c r="H13" s="39" t="str">
        <f t="shared" si="1"/>
        <v>AU</v>
      </c>
      <c r="I13" s="39" t="str">
        <f t="shared" si="2"/>
        <v>Sneakers Adidas</v>
      </c>
    </row>
    <row r="14" spans="1:13" ht="33" customHeight="1" x14ac:dyDescent="0.3">
      <c r="A14" s="34" t="s">
        <v>87</v>
      </c>
      <c r="B14" s="34" t="s">
        <v>6</v>
      </c>
      <c r="C14" s="34" t="s">
        <v>27</v>
      </c>
      <c r="D14" s="35">
        <v>120</v>
      </c>
      <c r="E14" s="35">
        <v>35</v>
      </c>
      <c r="F14" s="34"/>
      <c r="G14" s="46">
        <f t="shared" si="0"/>
        <v>46364</v>
      </c>
      <c r="H14" s="36" t="str">
        <f t="shared" si="1"/>
        <v>DE</v>
      </c>
      <c r="I14" s="36" t="str">
        <f t="shared" si="2"/>
        <v>Coffee Maker Nespresso</v>
      </c>
    </row>
    <row r="15" spans="1:13" ht="33" customHeight="1" x14ac:dyDescent="0.3">
      <c r="A15" s="37" t="s">
        <v>88</v>
      </c>
      <c r="B15" s="37" t="s">
        <v>28</v>
      </c>
      <c r="C15" s="37" t="s">
        <v>29</v>
      </c>
      <c r="D15" s="38">
        <v>150</v>
      </c>
      <c r="E15" s="38">
        <v>15</v>
      </c>
      <c r="F15" s="37" t="s">
        <v>15</v>
      </c>
      <c r="G15" s="47">
        <f t="shared" si="0"/>
        <v>46071</v>
      </c>
      <c r="H15" s="39" t="str">
        <f t="shared" si="1"/>
        <v>CA</v>
      </c>
      <c r="I15" s="39" t="str">
        <f t="shared" si="2"/>
        <v>Smartwatch Fitbit</v>
      </c>
    </row>
    <row r="16" spans="1:13" ht="33" customHeight="1" x14ac:dyDescent="0.3">
      <c r="A16" s="34" t="s">
        <v>89</v>
      </c>
      <c r="B16" s="34" t="s">
        <v>30</v>
      </c>
      <c r="C16" s="34" t="s">
        <v>31</v>
      </c>
      <c r="D16" s="35">
        <v>250</v>
      </c>
      <c r="E16" s="35">
        <v>20</v>
      </c>
      <c r="F16" s="34" t="s">
        <v>15</v>
      </c>
      <c r="G16" s="46">
        <f t="shared" si="0"/>
        <v>46128</v>
      </c>
      <c r="H16" s="36" t="str">
        <f t="shared" si="1"/>
        <v>ES</v>
      </c>
      <c r="I16" s="36" t="str">
        <f t="shared" si="2"/>
        <v>headphones Bose</v>
      </c>
    </row>
    <row r="17" spans="1:9" ht="33" customHeight="1" x14ac:dyDescent="0.3">
      <c r="A17" s="37" t="s">
        <v>90</v>
      </c>
      <c r="B17" s="37" t="s">
        <v>32</v>
      </c>
      <c r="C17" s="37" t="s">
        <v>33</v>
      </c>
      <c r="D17" s="38">
        <v>50</v>
      </c>
      <c r="E17" s="38">
        <v>35</v>
      </c>
      <c r="F17" s="37" t="s">
        <v>34</v>
      </c>
      <c r="G17" s="47">
        <f t="shared" si="0"/>
        <v>46255</v>
      </c>
      <c r="H17" s="39" t="str">
        <f t="shared" si="1"/>
        <v>CA</v>
      </c>
      <c r="I17" s="39" t="str">
        <f t="shared" si="2"/>
        <v>Laptop Bag Samsonite</v>
      </c>
    </row>
    <row r="18" spans="1:9" ht="33" customHeight="1" x14ac:dyDescent="0.3">
      <c r="A18" s="34" t="s">
        <v>91</v>
      </c>
      <c r="B18" s="34" t="s">
        <v>28</v>
      </c>
      <c r="C18" s="34" t="s">
        <v>35</v>
      </c>
      <c r="D18" s="35">
        <v>160</v>
      </c>
      <c r="E18" s="35">
        <v>15</v>
      </c>
      <c r="F18" s="34" t="s">
        <v>15</v>
      </c>
      <c r="G18" s="46">
        <f t="shared" si="0"/>
        <v>46254</v>
      </c>
      <c r="H18" s="36" t="str">
        <f t="shared" si="1"/>
        <v>CN</v>
      </c>
      <c r="I18" s="36" t="str">
        <f t="shared" si="2"/>
        <v>Smartwatch Huawei</v>
      </c>
    </row>
    <row r="19" spans="1:9" ht="33" customHeight="1" x14ac:dyDescent="0.3">
      <c r="A19" s="37" t="s">
        <v>92</v>
      </c>
      <c r="B19" s="37" t="s">
        <v>0</v>
      </c>
      <c r="C19" s="37" t="s">
        <v>36</v>
      </c>
      <c r="D19" s="38">
        <v>980</v>
      </c>
      <c r="E19" s="38">
        <v>10</v>
      </c>
      <c r="F19" s="37" t="s">
        <v>2</v>
      </c>
      <c r="G19" s="47">
        <f t="shared" si="0"/>
        <v>46049</v>
      </c>
      <c r="H19" s="39" t="str">
        <f t="shared" si="1"/>
        <v>IT</v>
      </c>
      <c r="I19" s="39" t="str">
        <f t="shared" si="2"/>
        <v>laptop Asus</v>
      </c>
    </row>
    <row r="20" spans="1:9" ht="33" customHeight="1" x14ac:dyDescent="0.3">
      <c r="A20" s="34" t="s">
        <v>93</v>
      </c>
      <c r="B20" s="34" t="s">
        <v>37</v>
      </c>
      <c r="C20" s="34" t="s">
        <v>38</v>
      </c>
      <c r="D20" s="35">
        <v>150</v>
      </c>
      <c r="E20" s="35">
        <v>15</v>
      </c>
      <c r="F20" s="34" t="s">
        <v>5</v>
      </c>
      <c r="G20" s="46">
        <f t="shared" si="0"/>
        <v>46082</v>
      </c>
      <c r="H20" s="36" t="str">
        <f t="shared" si="1"/>
        <v>UK</v>
      </c>
      <c r="I20" s="36" t="str">
        <f t="shared" si="2"/>
        <v>Sunglasses Oakley</v>
      </c>
    </row>
    <row r="21" spans="1:9" ht="33" customHeight="1" x14ac:dyDescent="0.3">
      <c r="A21" s="37" t="s">
        <v>94</v>
      </c>
      <c r="B21" s="37" t="s">
        <v>39</v>
      </c>
      <c r="C21" s="37" t="s">
        <v>40</v>
      </c>
      <c r="D21" s="37"/>
      <c r="E21" s="38">
        <v>10</v>
      </c>
      <c r="F21" s="37" t="s">
        <v>24</v>
      </c>
      <c r="G21" s="47">
        <f t="shared" si="0"/>
        <v>46248</v>
      </c>
      <c r="H21" s="39" t="str">
        <f t="shared" si="1"/>
        <v>US</v>
      </c>
      <c r="I21" s="39" t="str">
        <f t="shared" si="2"/>
        <v>Camping Tent Coleman</v>
      </c>
    </row>
    <row r="22" spans="1:9" ht="33" customHeight="1" x14ac:dyDescent="0.3">
      <c r="A22" s="34" t="s">
        <v>95</v>
      </c>
      <c r="B22" s="34" t="s">
        <v>41</v>
      </c>
      <c r="C22" s="34" t="s">
        <v>42</v>
      </c>
      <c r="D22" s="35">
        <v>700</v>
      </c>
      <c r="E22" s="35">
        <v>50</v>
      </c>
      <c r="F22" s="34" t="s">
        <v>2</v>
      </c>
      <c r="G22" s="46">
        <f t="shared" si="0"/>
        <v>46156</v>
      </c>
      <c r="H22" s="36" t="str">
        <f t="shared" si="1"/>
        <v>RU</v>
      </c>
      <c r="I22" s="36" t="str">
        <f t="shared" si="2"/>
        <v>Camera Nikon</v>
      </c>
    </row>
    <row r="23" spans="1:9" ht="33" customHeight="1" x14ac:dyDescent="0.3">
      <c r="A23" s="37" t="s">
        <v>96</v>
      </c>
      <c r="B23" s="37" t="s">
        <v>43</v>
      </c>
      <c r="C23" s="37" t="s">
        <v>44</v>
      </c>
      <c r="D23" s="38">
        <v>80</v>
      </c>
      <c r="E23" s="38">
        <v>20</v>
      </c>
      <c r="F23" s="37" t="s">
        <v>8</v>
      </c>
      <c r="G23" s="47">
        <f t="shared" si="0"/>
        <v>46031</v>
      </c>
      <c r="H23" s="39" t="str">
        <f t="shared" si="1"/>
        <v>CA</v>
      </c>
      <c r="I23" s="39" t="str">
        <f t="shared" si="2"/>
        <v>Microwave Panasonic</v>
      </c>
    </row>
    <row r="24" spans="1:9" ht="33" customHeight="1" x14ac:dyDescent="0.3">
      <c r="A24" s="34" t="s">
        <v>97</v>
      </c>
      <c r="B24" s="34" t="s">
        <v>45</v>
      </c>
      <c r="C24" s="34" t="s">
        <v>46</v>
      </c>
      <c r="D24" s="35">
        <v>150</v>
      </c>
      <c r="E24" s="35">
        <v>30</v>
      </c>
      <c r="F24" s="34"/>
      <c r="G24" s="46">
        <f t="shared" si="0"/>
        <v>46222</v>
      </c>
      <c r="H24" s="36" t="str">
        <f t="shared" si="1"/>
        <v>BR</v>
      </c>
      <c r="I24" s="36" t="str">
        <f t="shared" si="2"/>
        <v>Fitness Tracker Xiaomi</v>
      </c>
    </row>
    <row r="25" spans="1:9" ht="33" customHeight="1" x14ac:dyDescent="0.3">
      <c r="A25" s="37" t="s">
        <v>90</v>
      </c>
      <c r="B25" s="37" t="s">
        <v>32</v>
      </c>
      <c r="C25" s="37" t="s">
        <v>33</v>
      </c>
      <c r="D25" s="38">
        <v>50</v>
      </c>
      <c r="E25" s="38">
        <v>35</v>
      </c>
      <c r="F25" s="37" t="s">
        <v>34</v>
      </c>
      <c r="G25" s="47">
        <f t="shared" si="0"/>
        <v>46255</v>
      </c>
      <c r="H25" s="39" t="str">
        <f t="shared" si="1"/>
        <v>CA</v>
      </c>
      <c r="I25" s="39" t="str">
        <f t="shared" si="2"/>
        <v>Laptop Bag Samsonite</v>
      </c>
    </row>
    <row r="26" spans="1:9" ht="33" customHeight="1" x14ac:dyDescent="0.3">
      <c r="A26" s="34" t="s">
        <v>98</v>
      </c>
      <c r="B26" s="34" t="s">
        <v>47</v>
      </c>
      <c r="C26" s="34" t="s">
        <v>48</v>
      </c>
      <c r="D26" s="35">
        <v>800</v>
      </c>
      <c r="E26" s="35">
        <v>45</v>
      </c>
      <c r="F26" s="34" t="s">
        <v>2</v>
      </c>
      <c r="G26" s="46">
        <f t="shared" si="0"/>
        <v>46294</v>
      </c>
      <c r="H26" s="36" t="str">
        <f t="shared" si="1"/>
        <v>CA</v>
      </c>
      <c r="I26" s="36" t="str">
        <f t="shared" si="2"/>
        <v>Smartphone Google</v>
      </c>
    </row>
    <row r="27" spans="1:9" ht="33" customHeight="1" x14ac:dyDescent="0.3">
      <c r="A27" s="37" t="s">
        <v>99</v>
      </c>
      <c r="B27" s="37" t="s">
        <v>37</v>
      </c>
      <c r="C27" s="37" t="s">
        <v>49</v>
      </c>
      <c r="D27" s="37"/>
      <c r="E27" s="38">
        <v>25</v>
      </c>
      <c r="F27" s="37" t="s">
        <v>5</v>
      </c>
      <c r="G27" s="47">
        <f t="shared" si="0"/>
        <v>46176</v>
      </c>
      <c r="H27" s="39" t="str">
        <f t="shared" si="1"/>
        <v>CA</v>
      </c>
      <c r="I27" s="39" t="str">
        <f t="shared" si="2"/>
        <v>Sunglasses Ray-Ban</v>
      </c>
    </row>
    <row r="28" spans="1:9" ht="33" customHeight="1" x14ac:dyDescent="0.3">
      <c r="A28" s="34" t="s">
        <v>100</v>
      </c>
      <c r="B28" s="34" t="s">
        <v>18</v>
      </c>
      <c r="C28" s="34" t="s">
        <v>50</v>
      </c>
      <c r="D28" s="35">
        <v>400</v>
      </c>
      <c r="E28" s="35">
        <v>40</v>
      </c>
      <c r="F28" s="34" t="s">
        <v>8</v>
      </c>
      <c r="G28" s="46">
        <f t="shared" si="0"/>
        <v>46214</v>
      </c>
      <c r="H28" s="36" t="str">
        <f t="shared" si="1"/>
        <v>CA</v>
      </c>
      <c r="I28" s="36" t="str">
        <f t="shared" si="2"/>
        <v>Blender Vitamix</v>
      </c>
    </row>
    <row r="29" spans="1:9" ht="33" customHeight="1" x14ac:dyDescent="0.3">
      <c r="A29" s="37" t="s">
        <v>89</v>
      </c>
      <c r="B29" s="37" t="s">
        <v>30</v>
      </c>
      <c r="C29" s="37" t="s">
        <v>31</v>
      </c>
      <c r="D29" s="38">
        <v>250</v>
      </c>
      <c r="E29" s="38">
        <v>20</v>
      </c>
      <c r="F29" s="37" t="s">
        <v>15</v>
      </c>
      <c r="G29" s="47">
        <f t="shared" si="0"/>
        <v>46128</v>
      </c>
      <c r="H29" s="39" t="str">
        <f t="shared" si="1"/>
        <v>ES</v>
      </c>
      <c r="I29" s="39" t="str">
        <f t="shared" si="2"/>
        <v>headphones Bose</v>
      </c>
    </row>
    <row r="30" spans="1:9" ht="33" customHeight="1" x14ac:dyDescent="0.3">
      <c r="A30" s="34" t="s">
        <v>101</v>
      </c>
      <c r="B30" s="34" t="s">
        <v>51</v>
      </c>
      <c r="C30" s="34" t="s">
        <v>52</v>
      </c>
      <c r="D30" s="35">
        <v>60</v>
      </c>
      <c r="E30" s="35">
        <v>30</v>
      </c>
      <c r="F30" s="34" t="s">
        <v>5</v>
      </c>
      <c r="G30" s="46">
        <f t="shared" si="0"/>
        <v>46088</v>
      </c>
      <c r="H30" s="36" t="str">
        <f t="shared" si="1"/>
        <v>CA</v>
      </c>
      <c r="I30" s="36" t="str">
        <f t="shared" si="2"/>
        <v>Dress Zara</v>
      </c>
    </row>
    <row r="31" spans="1:9" ht="33" customHeight="1" x14ac:dyDescent="0.3">
      <c r="A31" s="37" t="s">
        <v>102</v>
      </c>
      <c r="B31" s="37" t="s">
        <v>53</v>
      </c>
      <c r="C31" s="37" t="s">
        <v>54</v>
      </c>
      <c r="D31" s="38">
        <v>40</v>
      </c>
      <c r="E31" s="38">
        <v>10</v>
      </c>
      <c r="F31" s="37" t="s">
        <v>8</v>
      </c>
      <c r="G31" s="47">
        <f t="shared" si="0"/>
        <v>46125</v>
      </c>
      <c r="H31" s="39" t="str">
        <f t="shared" si="1"/>
        <v>CA</v>
      </c>
      <c r="I31" s="39" t="str">
        <f t="shared" si="2"/>
        <v>Toaster Hamilton</v>
      </c>
    </row>
    <row r="32" spans="1:9" ht="33" customHeight="1" x14ac:dyDescent="0.3">
      <c r="A32" s="34" t="s">
        <v>103</v>
      </c>
      <c r="B32" s="34" t="s">
        <v>45</v>
      </c>
      <c r="C32" s="34" t="s">
        <v>55</v>
      </c>
      <c r="D32" s="35">
        <v>130</v>
      </c>
      <c r="E32" s="35">
        <v>5</v>
      </c>
      <c r="F32" s="34" t="s">
        <v>2</v>
      </c>
      <c r="G32" s="46">
        <f t="shared" si="0"/>
        <v>46166</v>
      </c>
      <c r="H32" s="36" t="str">
        <f t="shared" si="1"/>
        <v>CA</v>
      </c>
      <c r="I32" s="36" t="str">
        <f t="shared" si="2"/>
        <v>Fitness Tracker Garmin</v>
      </c>
    </row>
    <row r="33" spans="1:9" ht="33" customHeight="1" x14ac:dyDescent="0.3">
      <c r="A33" s="37" t="s">
        <v>104</v>
      </c>
      <c r="B33" s="37" t="s">
        <v>56</v>
      </c>
      <c r="C33" s="37" t="s">
        <v>57</v>
      </c>
      <c r="D33" s="38">
        <v>50</v>
      </c>
      <c r="E33" s="38">
        <v>50</v>
      </c>
      <c r="F33" s="37" t="s">
        <v>5</v>
      </c>
      <c r="G33" s="47">
        <f t="shared" si="0"/>
        <v>46358</v>
      </c>
      <c r="H33" s="39" t="str">
        <f t="shared" si="1"/>
        <v>CA</v>
      </c>
      <c r="I33" s="39" t="str">
        <f t="shared" si="2"/>
        <v>Jeans Levi's</v>
      </c>
    </row>
    <row r="34" spans="1:9" ht="33" customHeight="1" x14ac:dyDescent="0.3">
      <c r="A34" s="34" t="s">
        <v>105</v>
      </c>
      <c r="B34" s="34" t="s">
        <v>25</v>
      </c>
      <c r="C34" s="34" t="s">
        <v>26</v>
      </c>
      <c r="D34" s="35">
        <v>950</v>
      </c>
      <c r="E34" s="35">
        <v>25</v>
      </c>
      <c r="F34" s="34" t="s">
        <v>2</v>
      </c>
      <c r="G34" s="46">
        <f t="shared" si="0"/>
        <v>46190</v>
      </c>
      <c r="H34" s="36" t="str">
        <f t="shared" si="1"/>
        <v>IN</v>
      </c>
      <c r="I34" s="36" t="str">
        <f t="shared" si="2"/>
        <v>Laptop HP</v>
      </c>
    </row>
    <row r="35" spans="1:9" ht="33" customHeight="1" x14ac:dyDescent="0.3">
      <c r="A35" s="37" t="s">
        <v>106</v>
      </c>
      <c r="B35" s="37" t="s">
        <v>58</v>
      </c>
      <c r="C35" s="37" t="s">
        <v>59</v>
      </c>
      <c r="D35" s="38">
        <v>100</v>
      </c>
      <c r="E35" s="38">
        <v>20</v>
      </c>
      <c r="F35" s="37" t="s">
        <v>34</v>
      </c>
      <c r="G35" s="47">
        <f t="shared" si="0"/>
        <v>46212</v>
      </c>
      <c r="H35" s="39" t="str">
        <f t="shared" si="1"/>
        <v>FR</v>
      </c>
      <c r="I35" s="39" t="str">
        <f t="shared" si="2"/>
        <v>Watch Casio</v>
      </c>
    </row>
    <row r="36" spans="1:9" ht="33" customHeight="1" x14ac:dyDescent="0.3">
      <c r="D36" s="18"/>
    </row>
  </sheetData>
  <mergeCells count="1"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31AB-7803-4E42-954A-9C56124AD453}">
  <dimension ref="A1:N35"/>
  <sheetViews>
    <sheetView workbookViewId="0">
      <selection activeCell="A35" sqref="A35"/>
    </sheetView>
  </sheetViews>
  <sheetFormatPr defaultColWidth="12.21875" defaultRowHeight="28.2" customHeight="1" x14ac:dyDescent="0.3"/>
  <cols>
    <col min="1" max="1" width="17.6640625" customWidth="1"/>
    <col min="5" max="5" width="15.5546875" customWidth="1"/>
    <col min="7" max="7" width="15" customWidth="1"/>
  </cols>
  <sheetData>
    <row r="1" spans="1:14" ht="28.2" customHeight="1" thickBot="1" x14ac:dyDescent="0.35">
      <c r="A1" s="6" t="s">
        <v>60</v>
      </c>
      <c r="B1" s="6" t="s">
        <v>61</v>
      </c>
      <c r="C1" s="6" t="s">
        <v>107</v>
      </c>
      <c r="D1" s="6" t="s">
        <v>62</v>
      </c>
      <c r="E1" s="6" t="s">
        <v>63</v>
      </c>
      <c r="F1" s="6" t="s">
        <v>64</v>
      </c>
      <c r="G1" s="6" t="s">
        <v>65</v>
      </c>
    </row>
    <row r="2" spans="1:14" ht="28.2" customHeight="1" thickBot="1" x14ac:dyDescent="0.35">
      <c r="A2" s="1" t="s">
        <v>75</v>
      </c>
      <c r="B2" s="7" t="s">
        <v>0</v>
      </c>
      <c r="C2" s="7" t="str" cm="1">
        <f t="array" ref="C2:C35">PROPER(B2:B35)</f>
        <v>Laptop</v>
      </c>
      <c r="D2" s="7" t="s">
        <v>1</v>
      </c>
      <c r="E2" s="8">
        <v>1000</v>
      </c>
      <c r="F2" s="8">
        <v>30</v>
      </c>
      <c r="G2" s="7" t="s">
        <v>2</v>
      </c>
    </row>
    <row r="3" spans="1:14" ht="28.2" customHeight="1" thickBot="1" x14ac:dyDescent="0.35">
      <c r="A3" s="49" t="s">
        <v>76</v>
      </c>
      <c r="B3" s="10" t="s">
        <v>3</v>
      </c>
      <c r="C3" s="10" t="str">
        <v>Sneakers</v>
      </c>
      <c r="D3" s="10" t="s">
        <v>4</v>
      </c>
      <c r="E3" s="11">
        <v>80</v>
      </c>
      <c r="F3" s="11">
        <v>15</v>
      </c>
      <c r="G3" s="10" t="s">
        <v>5</v>
      </c>
    </row>
    <row r="4" spans="1:14" ht="28.2" customHeight="1" thickBot="1" x14ac:dyDescent="0.4">
      <c r="A4" s="1" t="s">
        <v>77</v>
      </c>
      <c r="B4" s="7" t="s">
        <v>6</v>
      </c>
      <c r="C4" s="7" t="str">
        <v>Coffee Maker</v>
      </c>
      <c r="D4" s="7" t="s">
        <v>7</v>
      </c>
      <c r="E4" s="8">
        <v>130</v>
      </c>
      <c r="F4" s="8">
        <v>40</v>
      </c>
      <c r="G4" s="7" t="s">
        <v>8</v>
      </c>
      <c r="K4" s="13">
        <v>6</v>
      </c>
      <c r="L4" s="14" t="s">
        <v>71</v>
      </c>
      <c r="M4" s="14"/>
      <c r="N4" s="14"/>
    </row>
    <row r="5" spans="1:14" ht="28.2" customHeight="1" thickBot="1" x14ac:dyDescent="0.35">
      <c r="A5" s="49" t="s">
        <v>78</v>
      </c>
      <c r="B5" s="10" t="s">
        <v>9</v>
      </c>
      <c r="C5" s="10" t="str">
        <v>Smartphone</v>
      </c>
      <c r="D5" s="10" t="s">
        <v>10</v>
      </c>
      <c r="E5" s="11">
        <v>900</v>
      </c>
      <c r="F5" s="11">
        <v>25</v>
      </c>
      <c r="G5" s="10" t="s">
        <v>2</v>
      </c>
    </row>
    <row r="6" spans="1:14" ht="28.2" customHeight="1" thickBot="1" x14ac:dyDescent="0.35">
      <c r="A6" s="1" t="s">
        <v>79</v>
      </c>
      <c r="B6" s="7" t="s">
        <v>11</v>
      </c>
      <c r="C6" s="7" t="str">
        <v>Backpack</v>
      </c>
      <c r="D6" s="7" t="s">
        <v>12</v>
      </c>
      <c r="E6" s="8">
        <v>70</v>
      </c>
      <c r="F6" s="8">
        <v>20</v>
      </c>
      <c r="G6" s="7" t="s">
        <v>34</v>
      </c>
    </row>
    <row r="7" spans="1:14" ht="28.2" customHeight="1" thickBot="1" x14ac:dyDescent="0.35">
      <c r="A7" s="49" t="s">
        <v>80</v>
      </c>
      <c r="B7" s="10" t="s">
        <v>13</v>
      </c>
      <c r="C7" s="10" t="str">
        <v>Headphones</v>
      </c>
      <c r="D7" s="10" t="s">
        <v>14</v>
      </c>
      <c r="E7" s="10">
        <v>309.35399999999998</v>
      </c>
      <c r="F7" s="11">
        <v>45</v>
      </c>
      <c r="G7" s="10" t="s">
        <v>2</v>
      </c>
    </row>
    <row r="8" spans="1:14" ht="28.2" customHeight="1" thickBot="1" x14ac:dyDescent="0.35">
      <c r="A8" s="1" t="s">
        <v>81</v>
      </c>
      <c r="B8" s="7" t="s">
        <v>16</v>
      </c>
      <c r="C8" s="7" t="str">
        <v>T-Shirt</v>
      </c>
      <c r="D8" s="7" t="s">
        <v>17</v>
      </c>
      <c r="E8" s="8">
        <v>30</v>
      </c>
      <c r="F8" s="8">
        <v>5</v>
      </c>
      <c r="G8" s="7" t="s">
        <v>5</v>
      </c>
    </row>
    <row r="9" spans="1:14" ht="28.2" customHeight="1" thickBot="1" x14ac:dyDescent="0.35">
      <c r="A9" s="49" t="s">
        <v>82</v>
      </c>
      <c r="B9" s="10" t="s">
        <v>18</v>
      </c>
      <c r="C9" s="10" t="str">
        <v>Blender</v>
      </c>
      <c r="D9" s="10" t="s">
        <v>19</v>
      </c>
      <c r="E9" s="11">
        <v>90</v>
      </c>
      <c r="F9" s="11">
        <v>35</v>
      </c>
      <c r="G9" s="10" t="s">
        <v>8</v>
      </c>
    </row>
    <row r="10" spans="1:14" ht="28.2" customHeight="1" thickBot="1" x14ac:dyDescent="0.35">
      <c r="A10" s="1" t="s">
        <v>83</v>
      </c>
      <c r="B10" s="7" t="s">
        <v>20</v>
      </c>
      <c r="C10" s="7" t="str">
        <v>Tablet</v>
      </c>
      <c r="D10" s="7" t="s">
        <v>21</v>
      </c>
      <c r="E10" s="8">
        <v>500</v>
      </c>
      <c r="F10" s="8">
        <v>50</v>
      </c>
      <c r="G10" s="7" t="s">
        <v>2</v>
      </c>
    </row>
    <row r="11" spans="1:14" ht="28.2" customHeight="1" thickBot="1" x14ac:dyDescent="0.35">
      <c r="A11" s="49" t="s">
        <v>84</v>
      </c>
      <c r="B11" s="10" t="s">
        <v>22</v>
      </c>
      <c r="C11" s="10" t="str">
        <v>Hiking Boots</v>
      </c>
      <c r="D11" s="10" t="s">
        <v>23</v>
      </c>
      <c r="E11" s="11">
        <v>130</v>
      </c>
      <c r="F11" s="11">
        <v>10</v>
      </c>
      <c r="G11" s="10" t="s">
        <v>24</v>
      </c>
    </row>
    <row r="12" spans="1:14" ht="28.2" customHeight="1" thickBot="1" x14ac:dyDescent="0.35">
      <c r="A12" s="1" t="s">
        <v>85</v>
      </c>
      <c r="B12" s="7" t="s">
        <v>25</v>
      </c>
      <c r="C12" s="7" t="str">
        <v>Laptop</v>
      </c>
      <c r="D12" s="7" t="s">
        <v>26</v>
      </c>
      <c r="E12" s="8">
        <v>950</v>
      </c>
      <c r="F12" s="8">
        <v>25</v>
      </c>
      <c r="G12" s="7" t="s">
        <v>2</v>
      </c>
    </row>
    <row r="13" spans="1:14" ht="28.2" customHeight="1" thickBot="1" x14ac:dyDescent="0.35">
      <c r="A13" s="49" t="s">
        <v>86</v>
      </c>
      <c r="B13" s="10" t="s">
        <v>3</v>
      </c>
      <c r="C13" s="10" t="str">
        <v>Sneakers</v>
      </c>
      <c r="D13" s="10" t="s">
        <v>17</v>
      </c>
      <c r="E13" s="11">
        <v>90</v>
      </c>
      <c r="F13" s="11">
        <v>40</v>
      </c>
      <c r="G13" s="10" t="s">
        <v>5</v>
      </c>
    </row>
    <row r="14" spans="1:14" ht="28.2" customHeight="1" thickBot="1" x14ac:dyDescent="0.35">
      <c r="A14" s="1" t="s">
        <v>87</v>
      </c>
      <c r="B14" s="7" t="s">
        <v>6</v>
      </c>
      <c r="C14" s="7" t="str">
        <v>Coffee Maker</v>
      </c>
      <c r="D14" s="7" t="s">
        <v>27</v>
      </c>
      <c r="E14" s="8">
        <v>120</v>
      </c>
      <c r="F14" s="8">
        <v>35</v>
      </c>
      <c r="G14" s="7" t="s">
        <v>8</v>
      </c>
    </row>
    <row r="15" spans="1:14" ht="28.2" customHeight="1" thickBot="1" x14ac:dyDescent="0.35">
      <c r="A15" s="49" t="s">
        <v>88</v>
      </c>
      <c r="B15" s="10" t="s">
        <v>28</v>
      </c>
      <c r="C15" s="10" t="str">
        <v>Smartwatch</v>
      </c>
      <c r="D15" s="10" t="s">
        <v>29</v>
      </c>
      <c r="E15" s="11">
        <v>150</v>
      </c>
      <c r="F15" s="11">
        <v>15</v>
      </c>
      <c r="G15" s="10" t="s">
        <v>2</v>
      </c>
    </row>
    <row r="16" spans="1:14" ht="28.2" customHeight="1" thickBot="1" x14ac:dyDescent="0.35">
      <c r="A16" s="1" t="s">
        <v>89</v>
      </c>
      <c r="B16" s="7" t="s">
        <v>30</v>
      </c>
      <c r="C16" s="7" t="str">
        <v>Headphones</v>
      </c>
      <c r="D16" s="7" t="s">
        <v>31</v>
      </c>
      <c r="E16" s="8">
        <v>250</v>
      </c>
      <c r="F16" s="8">
        <v>20</v>
      </c>
      <c r="G16" s="7" t="s">
        <v>2</v>
      </c>
    </row>
    <row r="17" spans="1:7" ht="28.2" customHeight="1" thickBot="1" x14ac:dyDescent="0.35">
      <c r="A17" s="49" t="s">
        <v>90</v>
      </c>
      <c r="B17" s="10" t="s">
        <v>32</v>
      </c>
      <c r="C17" s="10" t="str">
        <v>Laptop Bag</v>
      </c>
      <c r="D17" s="10" t="s">
        <v>33</v>
      </c>
      <c r="E17" s="11">
        <v>50</v>
      </c>
      <c r="F17" s="11">
        <v>35</v>
      </c>
      <c r="G17" s="10" t="s">
        <v>34</v>
      </c>
    </row>
    <row r="18" spans="1:7" ht="28.2" customHeight="1" thickBot="1" x14ac:dyDescent="0.35">
      <c r="A18" s="1" t="s">
        <v>91</v>
      </c>
      <c r="B18" s="7" t="s">
        <v>28</v>
      </c>
      <c r="C18" s="7" t="str">
        <v>Smartwatch</v>
      </c>
      <c r="D18" s="7" t="s">
        <v>35</v>
      </c>
      <c r="E18" s="8">
        <v>160</v>
      </c>
      <c r="F18" s="8">
        <v>15</v>
      </c>
      <c r="G18" s="7" t="s">
        <v>2</v>
      </c>
    </row>
    <row r="19" spans="1:7" ht="28.2" customHeight="1" thickBot="1" x14ac:dyDescent="0.35">
      <c r="A19" s="49" t="s">
        <v>92</v>
      </c>
      <c r="B19" s="10" t="s">
        <v>0</v>
      </c>
      <c r="C19" s="10" t="str">
        <v>Laptop</v>
      </c>
      <c r="D19" s="10" t="s">
        <v>36</v>
      </c>
      <c r="E19" s="11">
        <v>980</v>
      </c>
      <c r="F19" s="11">
        <v>10</v>
      </c>
      <c r="G19" s="10" t="s">
        <v>2</v>
      </c>
    </row>
    <row r="20" spans="1:7" ht="28.2" customHeight="1" thickBot="1" x14ac:dyDescent="0.35">
      <c r="A20" s="1" t="s">
        <v>93</v>
      </c>
      <c r="B20" s="7" t="s">
        <v>37</v>
      </c>
      <c r="C20" s="7" t="str">
        <v>Sunglasses</v>
      </c>
      <c r="D20" s="7" t="s">
        <v>38</v>
      </c>
      <c r="E20" s="8">
        <v>150</v>
      </c>
      <c r="F20" s="8">
        <v>15</v>
      </c>
      <c r="G20" s="7" t="s">
        <v>5</v>
      </c>
    </row>
    <row r="21" spans="1:7" ht="28.2" customHeight="1" thickBot="1" x14ac:dyDescent="0.35">
      <c r="A21" s="49" t="s">
        <v>94</v>
      </c>
      <c r="B21" s="10" t="s">
        <v>39</v>
      </c>
      <c r="C21" s="10" t="str">
        <v>Camping Tent</v>
      </c>
      <c r="D21" s="10" t="s">
        <v>40</v>
      </c>
      <c r="E21" s="10">
        <v>309.35399999999998</v>
      </c>
      <c r="F21" s="11">
        <v>10</v>
      </c>
      <c r="G21" s="10" t="s">
        <v>24</v>
      </c>
    </row>
    <row r="22" spans="1:7" ht="28.2" customHeight="1" thickBot="1" x14ac:dyDescent="0.35">
      <c r="A22" s="1" t="s">
        <v>95</v>
      </c>
      <c r="B22" s="7" t="s">
        <v>41</v>
      </c>
      <c r="C22" s="7" t="str">
        <v>Camera</v>
      </c>
      <c r="D22" s="7" t="s">
        <v>42</v>
      </c>
      <c r="E22" s="8">
        <v>700</v>
      </c>
      <c r="F22" s="8">
        <v>50</v>
      </c>
      <c r="G22" s="7" t="s">
        <v>2</v>
      </c>
    </row>
    <row r="23" spans="1:7" ht="28.2" customHeight="1" thickBot="1" x14ac:dyDescent="0.35">
      <c r="A23" s="49" t="s">
        <v>96</v>
      </c>
      <c r="B23" s="10" t="s">
        <v>43</v>
      </c>
      <c r="C23" s="10" t="str">
        <v>Microwave</v>
      </c>
      <c r="D23" s="10" t="s">
        <v>44</v>
      </c>
      <c r="E23" s="11">
        <v>80</v>
      </c>
      <c r="F23" s="11">
        <v>20</v>
      </c>
      <c r="G23" s="10" t="s">
        <v>8</v>
      </c>
    </row>
    <row r="24" spans="1:7" ht="28.2" customHeight="1" thickBot="1" x14ac:dyDescent="0.35">
      <c r="A24" s="1" t="s">
        <v>97</v>
      </c>
      <c r="B24" s="7" t="s">
        <v>45</v>
      </c>
      <c r="C24" s="7" t="str">
        <v>Fitness Tracker</v>
      </c>
      <c r="D24" s="7" t="s">
        <v>46</v>
      </c>
      <c r="E24" s="8">
        <v>150</v>
      </c>
      <c r="F24" s="8">
        <v>30</v>
      </c>
      <c r="G24" s="7" t="s">
        <v>2</v>
      </c>
    </row>
    <row r="25" spans="1:7" ht="28.2" customHeight="1" thickBot="1" x14ac:dyDescent="0.35">
      <c r="A25" s="49" t="s">
        <v>90</v>
      </c>
      <c r="B25" s="10" t="s">
        <v>32</v>
      </c>
      <c r="C25" s="10" t="str">
        <v>Laptop Bag</v>
      </c>
      <c r="D25" s="10" t="s">
        <v>33</v>
      </c>
      <c r="E25" s="11">
        <v>50</v>
      </c>
      <c r="F25" s="11">
        <v>35</v>
      </c>
      <c r="G25" s="10" t="s">
        <v>34</v>
      </c>
    </row>
    <row r="26" spans="1:7" ht="28.2" customHeight="1" thickBot="1" x14ac:dyDescent="0.35">
      <c r="A26" s="1" t="s">
        <v>98</v>
      </c>
      <c r="B26" s="7" t="s">
        <v>47</v>
      </c>
      <c r="C26" s="7" t="str">
        <v>Smartphone</v>
      </c>
      <c r="D26" s="7" t="s">
        <v>48</v>
      </c>
      <c r="E26" s="8">
        <v>800</v>
      </c>
      <c r="F26" s="8">
        <v>45</v>
      </c>
      <c r="G26" s="7" t="s">
        <v>2</v>
      </c>
    </row>
    <row r="27" spans="1:7" ht="28.2" customHeight="1" thickBot="1" x14ac:dyDescent="0.35">
      <c r="A27" s="49" t="s">
        <v>99</v>
      </c>
      <c r="B27" s="10" t="s">
        <v>37</v>
      </c>
      <c r="C27" s="10" t="str">
        <v>Sunglasses</v>
      </c>
      <c r="D27" s="10" t="s">
        <v>49</v>
      </c>
      <c r="E27" s="10">
        <v>309.35399999999998</v>
      </c>
      <c r="F27" s="11">
        <v>25</v>
      </c>
      <c r="G27" s="10" t="s">
        <v>5</v>
      </c>
    </row>
    <row r="28" spans="1:7" ht="28.2" customHeight="1" thickBot="1" x14ac:dyDescent="0.35">
      <c r="A28" s="1" t="s">
        <v>100</v>
      </c>
      <c r="B28" s="7" t="s">
        <v>18</v>
      </c>
      <c r="C28" s="7" t="str">
        <v>Blender</v>
      </c>
      <c r="D28" s="7" t="s">
        <v>50</v>
      </c>
      <c r="E28" s="8">
        <v>400</v>
      </c>
      <c r="F28" s="8">
        <v>40</v>
      </c>
      <c r="G28" s="7" t="s">
        <v>8</v>
      </c>
    </row>
    <row r="29" spans="1:7" ht="28.2" customHeight="1" thickBot="1" x14ac:dyDescent="0.35">
      <c r="A29" s="49" t="s">
        <v>89</v>
      </c>
      <c r="B29" s="10" t="s">
        <v>30</v>
      </c>
      <c r="C29" s="10" t="str">
        <v>Headphones</v>
      </c>
      <c r="D29" s="10" t="s">
        <v>31</v>
      </c>
      <c r="E29" s="11">
        <v>250</v>
      </c>
      <c r="F29" s="11">
        <v>20</v>
      </c>
      <c r="G29" s="10" t="s">
        <v>2</v>
      </c>
    </row>
    <row r="30" spans="1:7" ht="28.2" customHeight="1" thickBot="1" x14ac:dyDescent="0.35">
      <c r="A30" s="1" t="s">
        <v>101</v>
      </c>
      <c r="B30" s="7" t="s">
        <v>51</v>
      </c>
      <c r="C30" s="7" t="str">
        <v>Dress</v>
      </c>
      <c r="D30" s="7" t="s">
        <v>52</v>
      </c>
      <c r="E30" s="8">
        <v>60</v>
      </c>
      <c r="F30" s="8">
        <v>30</v>
      </c>
      <c r="G30" s="7" t="s">
        <v>5</v>
      </c>
    </row>
    <row r="31" spans="1:7" ht="28.2" customHeight="1" thickBot="1" x14ac:dyDescent="0.35">
      <c r="A31" s="49" t="s">
        <v>102</v>
      </c>
      <c r="B31" s="10" t="s">
        <v>53</v>
      </c>
      <c r="C31" s="10" t="str">
        <v>Toaster</v>
      </c>
      <c r="D31" s="10" t="s">
        <v>54</v>
      </c>
      <c r="E31" s="11">
        <v>40</v>
      </c>
      <c r="F31" s="11">
        <v>10</v>
      </c>
      <c r="G31" s="10" t="s">
        <v>8</v>
      </c>
    </row>
    <row r="32" spans="1:7" ht="28.2" customHeight="1" thickBot="1" x14ac:dyDescent="0.35">
      <c r="A32" s="1" t="s">
        <v>103</v>
      </c>
      <c r="B32" s="7" t="s">
        <v>45</v>
      </c>
      <c r="C32" s="7" t="str">
        <v>Fitness Tracker</v>
      </c>
      <c r="D32" s="7" t="s">
        <v>55</v>
      </c>
      <c r="E32" s="8">
        <v>130</v>
      </c>
      <c r="F32" s="8">
        <v>5</v>
      </c>
      <c r="G32" s="7" t="s">
        <v>2</v>
      </c>
    </row>
    <row r="33" spans="1:7" ht="28.2" customHeight="1" thickBot="1" x14ac:dyDescent="0.35">
      <c r="A33" s="49" t="s">
        <v>104</v>
      </c>
      <c r="B33" s="10" t="s">
        <v>56</v>
      </c>
      <c r="C33" s="10" t="str">
        <v>Jeans</v>
      </c>
      <c r="D33" s="10" t="s">
        <v>57</v>
      </c>
      <c r="E33" s="11">
        <v>50</v>
      </c>
      <c r="F33" s="11">
        <v>50</v>
      </c>
      <c r="G33" s="10" t="s">
        <v>5</v>
      </c>
    </row>
    <row r="34" spans="1:7" ht="28.2" customHeight="1" thickBot="1" x14ac:dyDescent="0.35">
      <c r="A34" s="1" t="s">
        <v>105</v>
      </c>
      <c r="B34" s="7" t="s">
        <v>25</v>
      </c>
      <c r="C34" s="7" t="str">
        <v>Laptop</v>
      </c>
      <c r="D34" s="7" t="s">
        <v>26</v>
      </c>
      <c r="E34" s="8">
        <v>950</v>
      </c>
      <c r="F34" s="8">
        <v>25</v>
      </c>
      <c r="G34" s="7" t="s">
        <v>2</v>
      </c>
    </row>
    <row r="35" spans="1:7" ht="28.2" customHeight="1" thickBot="1" x14ac:dyDescent="0.35">
      <c r="A35" s="49" t="s">
        <v>106</v>
      </c>
      <c r="B35" s="10" t="s">
        <v>58</v>
      </c>
      <c r="C35" s="10" t="str">
        <v>Watch</v>
      </c>
      <c r="D35" s="10" t="s">
        <v>59</v>
      </c>
      <c r="E35" s="11">
        <v>100</v>
      </c>
      <c r="F35" s="11">
        <v>20</v>
      </c>
      <c r="G35" s="10" t="s">
        <v>34</v>
      </c>
    </row>
  </sheetData>
  <mergeCells count="1">
    <mergeCell ref="L4:N4"/>
  </mergeCells>
  <conditionalFormatting sqref="E1:E3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{2240C86D-1FD8-4942-B5FA-4EC167F3296A}</x14:id>
        </ext>
      </extLst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0C86D-1FD8-4942-B5FA-4EC167F329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2026-09-20T04:47:41Z</dcterms:created>
  <dcterms:modified xsi:type="dcterms:W3CDTF">2026-09-23T17:42:31Z</dcterms:modified>
</cp:coreProperties>
</file>